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icompany.ru\pikp\Dep\FEE\GP\Строгино\КГП\КГП Среда к. 3\"/>
    </mc:Choice>
  </mc:AlternateContent>
  <xr:revisionPtr revIDLastSave="0" documentId="13_ncr:1_{4645907B-D215-497D-923C-1EB9DA89EC3A}" xr6:coauthVersionLast="47" xr6:coauthVersionMax="47" xr10:uidLastSave="{00000000-0000-0000-0000-000000000000}"/>
  <bookViews>
    <workbookView xWindow="-120" yWindow="-120" windowWidth="29040" windowHeight="15720" tabRatio="866" activeTab="2" xr2:uid="{00000000-000D-0000-FFFF-FFFF00000000}"/>
  </bookViews>
  <sheets>
    <sheet name="ГП" sheetId="1" r:id="rId1"/>
    <sheet name="Таблицы" sheetId="20" r:id="rId2"/>
    <sheet name="Исходные данные" sheetId="27" r:id="rId3"/>
    <sheet name="Расчёт_м_м" sheetId="23" r:id="rId4"/>
    <sheet name="Расчеты_благо" sheetId="26" r:id="rId5"/>
    <sheet name="Расчёт (ХП)" sheetId="11" state="hidden" r:id="rId6"/>
    <sheet name="Расчёт (ММ)" sheetId="14" state="hidden" r:id="rId7"/>
    <sheet name="Расчёт (ллмз3)" sheetId="18" state="hidden" r:id="rId8"/>
    <sheet name="Расчёт (ллмз)" sheetId="10" state="hidden" r:id="rId9"/>
    <sheet name="ГП_2" sheetId="5" state="hidden" r:id="rId10"/>
    <sheet name="Единицы" sheetId="15" state="hidden" r:id="rId11"/>
    <sheet name="ТС" sheetId="4" state="hidden" r:id="rId12"/>
    <sheet name="ТЭП" sheetId="7" state="hidden" r:id="rId13"/>
    <sheet name="cc" sheetId="2" state="hidden" r:id="rId14"/>
    <sheet name="Справочные данные" sheetId="12" state="hidden" r:id="rId15"/>
  </sheets>
  <definedNames>
    <definedName name="_FilterDatabase" localSheetId="14" hidden="1">'Справочные данные'!$A$2:$B$6</definedName>
    <definedName name="_xlnm._FilterDatabase" localSheetId="2" hidden="1">'Исходные данные'!$B$4:$M$13</definedName>
    <definedName name="_xlnm._FilterDatabase" localSheetId="3" hidden="1">Расчёт_м_м!#REF!</definedName>
    <definedName name="_xlnm._FilterDatabase" localSheetId="1" hidden="1">Таблицы!$I$136:$L$143</definedName>
    <definedName name="Print_Area" localSheetId="3">Расчёт_м_м!$B$2:$D$81</definedName>
    <definedName name="Print_Area" localSheetId="4">Расчеты_благо!$A$2:$G$81</definedName>
    <definedName name="_xlnm.Print_Area" localSheetId="3">Расчёт_м_м!$B$1:$O$100</definedName>
    <definedName name="_xlnm.Print_Area" localSheetId="4">Расчеты_благо!$A$2:$T$101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7" l="1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4" i="27"/>
  <c r="A5" i="27" l="1"/>
  <c r="A6" i="27" l="1"/>
  <c r="A7" i="27" s="1"/>
  <c r="A8" i="27" l="1"/>
  <c r="A9" i="27" s="1"/>
  <c r="A10" i="27" l="1"/>
  <c r="A11" i="27" s="1"/>
  <c r="A12" i="27" s="1"/>
  <c r="A13" i="27" l="1"/>
  <c r="J1" i="23" l="1"/>
  <c r="R14" i="23"/>
  <c r="R13" i="23"/>
  <c r="R12" i="23"/>
  <c r="R11" i="23"/>
  <c r="R10" i="23"/>
  <c r="R9" i="23"/>
  <c r="R8" i="23"/>
  <c r="R7" i="23"/>
  <c r="R6" i="23"/>
  <c r="R5" i="23"/>
  <c r="R4" i="23"/>
  <c r="R1" i="23"/>
  <c r="Q14" i="23"/>
  <c r="Q13" i="23"/>
  <c r="Q12" i="23"/>
  <c r="Q11" i="23"/>
  <c r="Q41" i="23" s="1"/>
  <c r="Q10" i="23"/>
  <c r="Q9" i="23"/>
  <c r="Q8" i="23"/>
  <c r="Q38" i="23" s="1"/>
  <c r="Q7" i="23"/>
  <c r="Q6" i="23"/>
  <c r="Q5" i="23"/>
  <c r="Q4" i="23"/>
  <c r="Q18" i="23" s="1"/>
  <c r="Q1" i="23"/>
  <c r="P14" i="23"/>
  <c r="P13" i="23"/>
  <c r="P16" i="23" s="1"/>
  <c r="P12" i="23"/>
  <c r="P10" i="23"/>
  <c r="P9" i="23"/>
  <c r="P8" i="23"/>
  <c r="P7" i="23"/>
  <c r="P5" i="23"/>
  <c r="P44" i="23" s="1"/>
  <c r="P4" i="23"/>
  <c r="P18" i="23" s="1"/>
  <c r="P1" i="23"/>
  <c r="Q50" i="23"/>
  <c r="Q44" i="23"/>
  <c r="Q40" i="23"/>
  <c r="Q37" i="23"/>
  <c r="Q30" i="23"/>
  <c r="Q19" i="23"/>
  <c r="Q15" i="23"/>
  <c r="Q16" i="23"/>
  <c r="P50" i="23"/>
  <c r="P40" i="23"/>
  <c r="P38" i="23"/>
  <c r="P37" i="23"/>
  <c r="P30" i="23"/>
  <c r="P19" i="23"/>
  <c r="P15" i="23"/>
  <c r="O14" i="23"/>
  <c r="O15" i="23" s="1"/>
  <c r="N14" i="23"/>
  <c r="N15" i="23" s="1"/>
  <c r="M14" i="23"/>
  <c r="M15" i="23" s="1"/>
  <c r="L14" i="23"/>
  <c r="L15" i="23" s="1"/>
  <c r="K14" i="23"/>
  <c r="K15" i="23" s="1"/>
  <c r="J14" i="23"/>
  <c r="I14" i="23"/>
  <c r="I15" i="23" s="1"/>
  <c r="H14" i="23"/>
  <c r="H15" i="23" s="1"/>
  <c r="G14" i="23"/>
  <c r="G15" i="23" s="1"/>
  <c r="F14" i="23"/>
  <c r="F15" i="23" s="1"/>
  <c r="O13" i="23"/>
  <c r="N13" i="23"/>
  <c r="M13" i="23"/>
  <c r="L13" i="23"/>
  <c r="K13" i="23"/>
  <c r="J13" i="23"/>
  <c r="I13" i="23"/>
  <c r="H13" i="23"/>
  <c r="G13" i="23"/>
  <c r="F13" i="23"/>
  <c r="O12" i="23"/>
  <c r="N12" i="23"/>
  <c r="M12" i="23"/>
  <c r="L12" i="23"/>
  <c r="K12" i="23"/>
  <c r="J12" i="23"/>
  <c r="I12" i="23"/>
  <c r="H12" i="23"/>
  <c r="G12" i="23"/>
  <c r="F12" i="23"/>
  <c r="F10" i="23"/>
  <c r="O9" i="23"/>
  <c r="N9" i="23"/>
  <c r="M9" i="23"/>
  <c r="L9" i="23"/>
  <c r="K9" i="23"/>
  <c r="J9" i="23"/>
  <c r="I9" i="23"/>
  <c r="H9" i="23"/>
  <c r="G9" i="23"/>
  <c r="F9" i="23"/>
  <c r="F8" i="23"/>
  <c r="O7" i="23"/>
  <c r="N7" i="23"/>
  <c r="M7" i="23"/>
  <c r="L7" i="23"/>
  <c r="K7" i="23"/>
  <c r="J7" i="23"/>
  <c r="I7" i="23"/>
  <c r="H7" i="23"/>
  <c r="G7" i="23"/>
  <c r="F7" i="23"/>
  <c r="N6" i="23"/>
  <c r="K6" i="23"/>
  <c r="H6" i="23"/>
  <c r="F6" i="23"/>
  <c r="O5" i="23"/>
  <c r="O44" i="23" s="1"/>
  <c r="N5" i="23"/>
  <c r="N44" i="23" s="1"/>
  <c r="M5" i="23"/>
  <c r="M44" i="23" s="1"/>
  <c r="L5" i="23"/>
  <c r="L44" i="23" s="1"/>
  <c r="K5" i="23"/>
  <c r="K44" i="23" s="1"/>
  <c r="J5" i="23"/>
  <c r="J44" i="23" s="1"/>
  <c r="I5" i="23"/>
  <c r="I44" i="23" s="1"/>
  <c r="H5" i="23"/>
  <c r="H44" i="23" s="1"/>
  <c r="G5" i="23"/>
  <c r="G44" i="23" s="1"/>
  <c r="F5" i="23"/>
  <c r="O4" i="23"/>
  <c r="O18" i="23" s="1"/>
  <c r="N4" i="23"/>
  <c r="N18" i="23" s="1"/>
  <c r="M4" i="23"/>
  <c r="M18" i="23" s="1"/>
  <c r="L4" i="23"/>
  <c r="L18" i="23" s="1"/>
  <c r="K4" i="23"/>
  <c r="K18" i="23" s="1"/>
  <c r="J4" i="23"/>
  <c r="J18" i="23" s="1"/>
  <c r="I4" i="23"/>
  <c r="I18" i="23" s="1"/>
  <c r="H4" i="23"/>
  <c r="H18" i="23" s="1"/>
  <c r="G4" i="23"/>
  <c r="G18" i="23" s="1"/>
  <c r="F4" i="23"/>
  <c r="F18" i="23" s="1"/>
  <c r="O1" i="23"/>
  <c r="N1" i="23"/>
  <c r="M1" i="23"/>
  <c r="L1" i="23"/>
  <c r="K1" i="23"/>
  <c r="I1" i="23"/>
  <c r="H1" i="23"/>
  <c r="G1" i="23"/>
  <c r="F1" i="23"/>
  <c r="J13" i="27"/>
  <c r="J11" i="27" s="1"/>
  <c r="E13" i="27"/>
  <c r="O6" i="23" s="1"/>
  <c r="I11" i="27"/>
  <c r="M10" i="23" s="1"/>
  <c r="G11" i="27"/>
  <c r="M8" i="23" s="1"/>
  <c r="E10" i="27"/>
  <c r="L6" i="23" s="1"/>
  <c r="I8" i="27"/>
  <c r="J10" i="23" s="1"/>
  <c r="G8" i="27"/>
  <c r="J8" i="23" s="1"/>
  <c r="J7" i="27"/>
  <c r="E7" i="27"/>
  <c r="I6" i="23" s="1"/>
  <c r="I5" i="27"/>
  <c r="J5" i="27" s="1"/>
  <c r="G11" i="23" s="1"/>
  <c r="G5" i="27"/>
  <c r="G8" i="23" s="1"/>
  <c r="J4" i="27"/>
  <c r="F11" i="23" s="1"/>
  <c r="G84" i="26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7" i="20"/>
  <c r="D66" i="20"/>
  <c r="D65" i="20"/>
  <c r="D63" i="20"/>
  <c r="D62" i="20"/>
  <c r="D61" i="20"/>
  <c r="D60" i="20"/>
  <c r="D59" i="20"/>
  <c r="D57" i="20"/>
  <c r="D56" i="20"/>
  <c r="D55" i="20"/>
  <c r="D54" i="20"/>
  <c r="D53" i="20"/>
  <c r="D52" i="20"/>
  <c r="D51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4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9" i="20"/>
  <c r="D8" i="20"/>
  <c r="D7" i="20"/>
  <c r="D6" i="20"/>
  <c r="D5" i="20"/>
  <c r="D4" i="20"/>
  <c r="F19" i="23"/>
  <c r="F30" i="23"/>
  <c r="F44" i="23"/>
  <c r="F50" i="23"/>
  <c r="J15" i="23"/>
  <c r="J19" i="23"/>
  <c r="K19" i="23"/>
  <c r="L19" i="23"/>
  <c r="M19" i="23"/>
  <c r="N19" i="23"/>
  <c r="O19" i="23"/>
  <c r="J30" i="23"/>
  <c r="K30" i="23"/>
  <c r="L30" i="23"/>
  <c r="M30" i="23"/>
  <c r="N30" i="23"/>
  <c r="O30" i="23"/>
  <c r="J50" i="23"/>
  <c r="K50" i="23"/>
  <c r="L50" i="23"/>
  <c r="M50" i="23"/>
  <c r="N50" i="23"/>
  <c r="O50" i="23"/>
  <c r="G19" i="23"/>
  <c r="G30" i="23"/>
  <c r="G50" i="23"/>
  <c r="I30" i="23"/>
  <c r="I19" i="23"/>
  <c r="I50" i="23"/>
  <c r="H30" i="23"/>
  <c r="H19" i="23"/>
  <c r="H50" i="23"/>
  <c r="A49" i="23"/>
  <c r="B48" i="23"/>
  <c r="L11" i="26" l="1"/>
  <c r="N8" i="23"/>
  <c r="H10" i="23"/>
  <c r="P11" i="23"/>
  <c r="P41" i="23" s="1"/>
  <c r="P42" i="23" s="1"/>
  <c r="K10" i="23"/>
  <c r="H8" i="23"/>
  <c r="N10" i="23"/>
  <c r="H11" i="23"/>
  <c r="I11" i="23"/>
  <c r="K8" i="23"/>
  <c r="P6" i="23"/>
  <c r="I16" i="23"/>
  <c r="J8" i="27"/>
  <c r="G6" i="23"/>
  <c r="M6" i="23"/>
  <c r="L8" i="23"/>
  <c r="L20" i="23" s="1"/>
  <c r="M11" i="23"/>
  <c r="L10" i="23"/>
  <c r="J6" i="23"/>
  <c r="I8" i="23"/>
  <c r="O8" i="23"/>
  <c r="O20" i="23" s="1"/>
  <c r="L11" i="23"/>
  <c r="I10" i="23"/>
  <c r="O10" i="23"/>
  <c r="N11" i="23"/>
  <c r="G10" i="23"/>
  <c r="O11" i="23"/>
  <c r="Q42" i="23"/>
  <c r="Q20" i="23"/>
  <c r="Q31" i="23"/>
  <c r="P20" i="23"/>
  <c r="P31" i="23"/>
  <c r="T11" i="26"/>
  <c r="P11" i="26"/>
  <c r="R11" i="26"/>
  <c r="N11" i="26"/>
  <c r="H16" i="23"/>
  <c r="L16" i="23"/>
  <c r="G16" i="23"/>
  <c r="O16" i="23"/>
  <c r="K16" i="23"/>
  <c r="F16" i="23"/>
  <c r="N16" i="23"/>
  <c r="J16" i="23"/>
  <c r="M16" i="23"/>
  <c r="H20" i="23"/>
  <c r="M20" i="23"/>
  <c r="I20" i="23"/>
  <c r="G20" i="23"/>
  <c r="K20" i="23"/>
  <c r="N20" i="23"/>
  <c r="J20" i="23"/>
  <c r="F20" i="23"/>
  <c r="J11" i="23" l="1"/>
  <c r="K11" i="23"/>
  <c r="Q67" i="23"/>
  <c r="Q32" i="23"/>
  <c r="Q66" i="23"/>
  <c r="Q35" i="23"/>
  <c r="Q34" i="23"/>
  <c r="Q33" i="23"/>
  <c r="Q22" i="23"/>
  <c r="Q21" i="23"/>
  <c r="Q61" i="23"/>
  <c r="Q60" i="23" s="1"/>
  <c r="Q25" i="23"/>
  <c r="Q45" i="23" s="1"/>
  <c r="Q79" i="23"/>
  <c r="Q68" i="23"/>
  <c r="Q90" i="23"/>
  <c r="P67" i="23"/>
  <c r="P32" i="23"/>
  <c r="P33" i="23"/>
  <c r="P66" i="23"/>
  <c r="P35" i="23"/>
  <c r="P34" i="23"/>
  <c r="P22" i="23"/>
  <c r="P25" i="23"/>
  <c r="P45" i="23" s="1"/>
  <c r="P21" i="23"/>
  <c r="P61" i="23"/>
  <c r="P60" i="23" s="1"/>
  <c r="P79" i="23"/>
  <c r="P90" i="23"/>
  <c r="P68" i="23"/>
  <c r="D10" i="23"/>
  <c r="R83" i="26"/>
  <c r="R84" i="26" s="1"/>
  <c r="G11" i="26"/>
  <c r="D5" i="23"/>
  <c r="J11" i="26"/>
  <c r="D52" i="23"/>
  <c r="D44" i="23"/>
  <c r="B45" i="23" s="1"/>
  <c r="T83" i="26"/>
  <c r="T84" i="26" s="1"/>
  <c r="D51" i="23"/>
  <c r="D54" i="23"/>
  <c r="D56" i="23"/>
  <c r="D53" i="23"/>
  <c r="J83" i="26"/>
  <c r="J84" i="26" s="1"/>
  <c r="D55" i="23"/>
  <c r="N83" i="26"/>
  <c r="N84" i="26" s="1"/>
  <c r="D18" i="23"/>
  <c r="D11" i="23"/>
  <c r="L83" i="26"/>
  <c r="L84" i="26" s="1"/>
  <c r="D58" i="23"/>
  <c r="P83" i="26"/>
  <c r="P84" i="26" s="1"/>
  <c r="D57" i="23"/>
  <c r="D4" i="23"/>
  <c r="D50" i="23"/>
  <c r="V10" i="26"/>
  <c r="P65" i="23" l="1"/>
  <c r="Q65" i="23"/>
  <c r="Q83" i="23"/>
  <c r="Q82" i="23" s="1"/>
  <c r="Q89" i="23"/>
  <c r="Q88" i="23"/>
  <c r="Q72" i="23"/>
  <c r="Q71" i="23" s="1"/>
  <c r="Q78" i="23"/>
  <c r="Q77" i="23"/>
  <c r="Q63" i="23"/>
  <c r="Q28" i="23"/>
  <c r="Q27" i="23"/>
  <c r="Q47" i="23" s="1"/>
  <c r="Q26" i="23"/>
  <c r="Q64" i="23"/>
  <c r="Q62" i="23" s="1"/>
  <c r="Q59" i="23" s="1"/>
  <c r="Q29" i="23"/>
  <c r="P83" i="23"/>
  <c r="P82" i="23" s="1"/>
  <c r="P88" i="23"/>
  <c r="P89" i="23"/>
  <c r="P72" i="23"/>
  <c r="P71" i="23" s="1"/>
  <c r="P78" i="23"/>
  <c r="P77" i="23"/>
  <c r="P63" i="23"/>
  <c r="P28" i="23"/>
  <c r="P64" i="23"/>
  <c r="P29" i="23"/>
  <c r="P27" i="23"/>
  <c r="P47" i="23" s="1"/>
  <c r="P26" i="23"/>
  <c r="P46" i="23" s="1"/>
  <c r="B46" i="23"/>
  <c r="D98" i="23"/>
  <c r="P87" i="23" l="1"/>
  <c r="Q76" i="23"/>
  <c r="Q87" i="23"/>
  <c r="P62" i="23"/>
  <c r="P59" i="23" s="1"/>
  <c r="P69" i="23" s="1"/>
  <c r="P76" i="23"/>
  <c r="Q69" i="23"/>
  <c r="Q49" i="23"/>
  <c r="Q48" i="23"/>
  <c r="Q75" i="23"/>
  <c r="Q74" i="23"/>
  <c r="Q86" i="23"/>
  <c r="Q85" i="23"/>
  <c r="Q46" i="23"/>
  <c r="P75" i="23"/>
  <c r="P74" i="23"/>
  <c r="P86" i="23"/>
  <c r="P85" i="23"/>
  <c r="G4" i="26"/>
  <c r="G7" i="26"/>
  <c r="G9" i="26" s="1"/>
  <c r="F23" i="26" s="1"/>
  <c r="G23" i="26" s="1"/>
  <c r="G12" i="26"/>
  <c r="G80" i="26" s="1"/>
  <c r="G20" i="26"/>
  <c r="G21" i="26"/>
  <c r="G22" i="26"/>
  <c r="G24" i="26"/>
  <c r="G25" i="26"/>
  <c r="G26" i="26"/>
  <c r="G27" i="26"/>
  <c r="G28" i="26"/>
  <c r="G29" i="26"/>
  <c r="G30" i="26"/>
  <c r="G31" i="26"/>
  <c r="G32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78" i="26"/>
  <c r="V78" i="26"/>
  <c r="T78" i="26"/>
  <c r="R78" i="26"/>
  <c r="P78" i="26"/>
  <c r="N78" i="26"/>
  <c r="L78" i="26"/>
  <c r="J78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V84" i="26"/>
  <c r="V85" i="26" s="1"/>
  <c r="V88" i="26" s="1"/>
  <c r="V63" i="26"/>
  <c r="V62" i="26"/>
  <c r="V61" i="26"/>
  <c r="V60" i="26"/>
  <c r="V59" i="26"/>
  <c r="V58" i="26"/>
  <c r="V57" i="26"/>
  <c r="V56" i="26"/>
  <c r="V55" i="26"/>
  <c r="V54" i="26"/>
  <c r="V53" i="26"/>
  <c r="V52" i="26"/>
  <c r="V51" i="26"/>
  <c r="V50" i="26"/>
  <c r="V49" i="26"/>
  <c r="V48" i="26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2" i="26"/>
  <c r="V31" i="26"/>
  <c r="V30" i="26"/>
  <c r="V29" i="26"/>
  <c r="V28" i="26"/>
  <c r="V27" i="26"/>
  <c r="V26" i="26"/>
  <c r="V25" i="26"/>
  <c r="V24" i="26"/>
  <c r="V22" i="26"/>
  <c r="V21" i="26"/>
  <c r="V20" i="26"/>
  <c r="V12" i="26"/>
  <c r="V80" i="26" s="1"/>
  <c r="V7" i="26"/>
  <c r="V9" i="26" s="1"/>
  <c r="U23" i="26" s="1"/>
  <c r="V23" i="26" s="1"/>
  <c r="V4" i="26"/>
  <c r="V6" i="26" s="1"/>
  <c r="T63" i="26"/>
  <c r="T62" i="26"/>
  <c r="T61" i="26"/>
  <c r="T60" i="26"/>
  <c r="T59" i="26"/>
  <c r="T58" i="26"/>
  <c r="T57" i="26"/>
  <c r="T56" i="26"/>
  <c r="T55" i="26"/>
  <c r="T54" i="26"/>
  <c r="T53" i="26"/>
  <c r="T52" i="26"/>
  <c r="T51" i="26"/>
  <c r="T50" i="26"/>
  <c r="T49" i="26"/>
  <c r="T48" i="26"/>
  <c r="T47" i="26"/>
  <c r="T46" i="26"/>
  <c r="T45" i="26"/>
  <c r="T44" i="26"/>
  <c r="T43" i="26"/>
  <c r="T42" i="26"/>
  <c r="T41" i="26"/>
  <c r="T40" i="26"/>
  <c r="T39" i="26"/>
  <c r="T38" i="26"/>
  <c r="T37" i="26"/>
  <c r="T36" i="26"/>
  <c r="T35" i="26"/>
  <c r="T32" i="26"/>
  <c r="T31" i="26"/>
  <c r="T30" i="26"/>
  <c r="T29" i="26"/>
  <c r="T28" i="26"/>
  <c r="T27" i="26"/>
  <c r="T26" i="26"/>
  <c r="T25" i="26"/>
  <c r="T24" i="26"/>
  <c r="T22" i="26"/>
  <c r="T21" i="26"/>
  <c r="T20" i="26"/>
  <c r="T12" i="26"/>
  <c r="T80" i="26" s="1"/>
  <c r="T7" i="26"/>
  <c r="T9" i="26" s="1"/>
  <c r="S23" i="26" s="1"/>
  <c r="T23" i="26" s="1"/>
  <c r="T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2" i="26"/>
  <c r="R31" i="26"/>
  <c r="R30" i="26"/>
  <c r="R29" i="26"/>
  <c r="R28" i="26"/>
  <c r="R27" i="26"/>
  <c r="R26" i="26"/>
  <c r="R25" i="26"/>
  <c r="R24" i="26"/>
  <c r="R22" i="26"/>
  <c r="R21" i="26"/>
  <c r="R20" i="26"/>
  <c r="R12" i="26"/>
  <c r="R80" i="26" s="1"/>
  <c r="R7" i="26"/>
  <c r="R9" i="26" s="1"/>
  <c r="Q23" i="26" s="1"/>
  <c r="R23" i="26" s="1"/>
  <c r="R4" i="26"/>
  <c r="P63" i="26"/>
  <c r="P62" i="26"/>
  <c r="P61" i="26"/>
  <c r="P60" i="26"/>
  <c r="P59" i="26"/>
  <c r="P58" i="26"/>
  <c r="P57" i="26"/>
  <c r="P56" i="26"/>
  <c r="P55" i="26"/>
  <c r="P54" i="26"/>
  <c r="P53" i="26"/>
  <c r="P52" i="26"/>
  <c r="P51" i="26"/>
  <c r="P50" i="26"/>
  <c r="P49" i="26"/>
  <c r="P48" i="26"/>
  <c r="P47" i="26"/>
  <c r="P46" i="26"/>
  <c r="P45" i="26"/>
  <c r="P44" i="26"/>
  <c r="P43" i="26"/>
  <c r="P42" i="26"/>
  <c r="P41" i="26"/>
  <c r="P40" i="26"/>
  <c r="P39" i="26"/>
  <c r="P38" i="26"/>
  <c r="P37" i="26"/>
  <c r="P36" i="26"/>
  <c r="P35" i="26"/>
  <c r="P32" i="26"/>
  <c r="P31" i="26"/>
  <c r="P30" i="26"/>
  <c r="P29" i="26"/>
  <c r="P28" i="26"/>
  <c r="P27" i="26"/>
  <c r="P26" i="26"/>
  <c r="P25" i="26"/>
  <c r="P24" i="26"/>
  <c r="P22" i="26"/>
  <c r="P21" i="26"/>
  <c r="P20" i="26"/>
  <c r="P12" i="26"/>
  <c r="P80" i="26" s="1"/>
  <c r="P7" i="26"/>
  <c r="P9" i="26" s="1"/>
  <c r="O23" i="26" s="1"/>
  <c r="P23" i="26" s="1"/>
  <c r="P4" i="26"/>
  <c r="N63" i="26"/>
  <c r="N62" i="26"/>
  <c r="N61" i="26"/>
  <c r="N60" i="26"/>
  <c r="N59" i="26"/>
  <c r="N58" i="26"/>
  <c r="N57" i="26"/>
  <c r="N56" i="26"/>
  <c r="N55" i="26"/>
  <c r="N54" i="26"/>
  <c r="N53" i="26"/>
  <c r="N52" i="26"/>
  <c r="N51" i="26"/>
  <c r="N50" i="26"/>
  <c r="N49" i="26"/>
  <c r="N48" i="26"/>
  <c r="N47" i="26"/>
  <c r="N46" i="26"/>
  <c r="N45" i="26"/>
  <c r="N44" i="26"/>
  <c r="N43" i="26"/>
  <c r="N42" i="26"/>
  <c r="N41" i="26"/>
  <c r="N40" i="26"/>
  <c r="N39" i="26"/>
  <c r="N38" i="26"/>
  <c r="N37" i="26"/>
  <c r="N36" i="26"/>
  <c r="N35" i="26"/>
  <c r="N32" i="26"/>
  <c r="N31" i="26"/>
  <c r="N30" i="26"/>
  <c r="N29" i="26"/>
  <c r="N28" i="26"/>
  <c r="N27" i="26"/>
  <c r="N26" i="26"/>
  <c r="N25" i="26"/>
  <c r="N24" i="26"/>
  <c r="N22" i="26"/>
  <c r="N21" i="26"/>
  <c r="N20" i="26"/>
  <c r="N12" i="26"/>
  <c r="N80" i="26" s="1"/>
  <c r="N7" i="26"/>
  <c r="N4" i="26"/>
  <c r="D6" i="23"/>
  <c r="L12" i="26"/>
  <c r="L80" i="26" s="1"/>
  <c r="J12" i="26"/>
  <c r="J80" i="26" s="1"/>
  <c r="J4" i="26"/>
  <c r="L63" i="26"/>
  <c r="L62" i="26"/>
  <c r="L61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2" i="26"/>
  <c r="L31" i="26"/>
  <c r="L30" i="26"/>
  <c r="L29" i="26"/>
  <c r="L28" i="26"/>
  <c r="L27" i="26"/>
  <c r="L26" i="26"/>
  <c r="L25" i="26"/>
  <c r="L24" i="26"/>
  <c r="L22" i="26"/>
  <c r="L21" i="26"/>
  <c r="L20" i="26"/>
  <c r="J7" i="26"/>
  <c r="J9" i="26" s="1"/>
  <c r="I23" i="26" s="1"/>
  <c r="J23" i="26" s="1"/>
  <c r="J63" i="26"/>
  <c r="J62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2" i="26"/>
  <c r="J31" i="26"/>
  <c r="J30" i="26"/>
  <c r="J29" i="26"/>
  <c r="J28" i="26"/>
  <c r="J27" i="26"/>
  <c r="J26" i="26"/>
  <c r="J25" i="26"/>
  <c r="J24" i="26"/>
  <c r="J22" i="26"/>
  <c r="J21" i="26"/>
  <c r="J20" i="26"/>
  <c r="L7" i="26"/>
  <c r="L9" i="26" s="1"/>
  <c r="K23" i="26" s="1"/>
  <c r="L23" i="26" s="1"/>
  <c r="L4" i="26"/>
  <c r="P49" i="23" l="1"/>
  <c r="P48" i="23"/>
  <c r="P84" i="23"/>
  <c r="P81" i="23" s="1"/>
  <c r="P91" i="23" s="1"/>
  <c r="P73" i="23"/>
  <c r="P70" i="23" s="1"/>
  <c r="P80" i="23" s="1"/>
  <c r="N9" i="26"/>
  <c r="M23" i="26" s="1"/>
  <c r="N23" i="26" s="1"/>
  <c r="Q84" i="23"/>
  <c r="Q81" i="23" s="1"/>
  <c r="Q91" i="23" s="1"/>
  <c r="Q73" i="23"/>
  <c r="Q70" i="23" s="1"/>
  <c r="Q80" i="23" s="1"/>
  <c r="I64" i="26"/>
  <c r="J64" i="26" s="1"/>
  <c r="J85" i="26"/>
  <c r="G6" i="26"/>
  <c r="C86" i="26"/>
  <c r="T6" i="26"/>
  <c r="T75" i="26" s="1"/>
  <c r="T99" i="26" s="1"/>
  <c r="T85" i="26"/>
  <c r="R6" i="26"/>
  <c r="R76" i="26" s="1"/>
  <c r="R85" i="26"/>
  <c r="O64" i="26"/>
  <c r="P64" i="26" s="1"/>
  <c r="P85" i="26"/>
  <c r="N6" i="26"/>
  <c r="N77" i="26" s="1"/>
  <c r="N85" i="26"/>
  <c r="K64" i="26"/>
  <c r="L64" i="26" s="1"/>
  <c r="L85" i="26"/>
  <c r="F64" i="26"/>
  <c r="G64" i="26" s="1"/>
  <c r="U64" i="26"/>
  <c r="V64" i="26" s="1"/>
  <c r="V76" i="26"/>
  <c r="V69" i="26"/>
  <c r="V75" i="26"/>
  <c r="V68" i="26"/>
  <c r="V74" i="26"/>
  <c r="V77" i="26"/>
  <c r="V70" i="26"/>
  <c r="S64" i="26"/>
  <c r="T64" i="26" s="1"/>
  <c r="V86" i="26"/>
  <c r="V87" i="26"/>
  <c r="P6" i="26"/>
  <c r="P75" i="26" s="1"/>
  <c r="P99" i="26" s="1"/>
  <c r="Q64" i="26"/>
  <c r="R64" i="26" s="1"/>
  <c r="M64" i="26"/>
  <c r="N64" i="26" s="1"/>
  <c r="L6" i="26"/>
  <c r="L68" i="26" s="1"/>
  <c r="C74" i="26"/>
  <c r="J6" i="26"/>
  <c r="J77" i="26" s="1"/>
  <c r="G87" i="26" l="1"/>
  <c r="G89" i="26"/>
  <c r="J86" i="26"/>
  <c r="J89" i="26"/>
  <c r="J88" i="26"/>
  <c r="T74" i="26"/>
  <c r="T88" i="26"/>
  <c r="T89" i="26"/>
  <c r="R88" i="26"/>
  <c r="R89" i="26"/>
  <c r="P86" i="26"/>
  <c r="P89" i="26"/>
  <c r="N88" i="26"/>
  <c r="N89" i="26"/>
  <c r="L88" i="26"/>
  <c r="L89" i="26"/>
  <c r="G86" i="26"/>
  <c r="G88" i="26"/>
  <c r="T77" i="26"/>
  <c r="T69" i="26"/>
  <c r="T70" i="26"/>
  <c r="T76" i="26"/>
  <c r="T68" i="26"/>
  <c r="N68" i="26"/>
  <c r="R86" i="26"/>
  <c r="R74" i="26"/>
  <c r="N69" i="26"/>
  <c r="N76" i="26"/>
  <c r="R75" i="26"/>
  <c r="R99" i="26" s="1"/>
  <c r="N74" i="26"/>
  <c r="R70" i="26"/>
  <c r="N75" i="26"/>
  <c r="N99" i="26" s="1"/>
  <c r="R77" i="26"/>
  <c r="R69" i="26"/>
  <c r="N70" i="26"/>
  <c r="R87" i="26"/>
  <c r="R68" i="26"/>
  <c r="L86" i="26"/>
  <c r="L96" i="26" s="1"/>
  <c r="N87" i="26"/>
  <c r="L87" i="26"/>
  <c r="N86" i="26"/>
  <c r="J87" i="26"/>
  <c r="P88" i="26"/>
  <c r="P87" i="26"/>
  <c r="T87" i="26"/>
  <c r="T86" i="26"/>
  <c r="G74" i="26"/>
  <c r="G77" i="26"/>
  <c r="G75" i="26"/>
  <c r="G99" i="26" s="1"/>
  <c r="G76" i="26"/>
  <c r="P68" i="26"/>
  <c r="P96" i="26" s="1"/>
  <c r="P77" i="26"/>
  <c r="P74" i="26"/>
  <c r="P69" i="26"/>
  <c r="P76" i="26"/>
  <c r="P70" i="26"/>
  <c r="L69" i="26"/>
  <c r="L74" i="26"/>
  <c r="L75" i="26"/>
  <c r="L99" i="26" s="1"/>
  <c r="L76" i="26"/>
  <c r="L70" i="26"/>
  <c r="L77" i="26"/>
  <c r="J69" i="26"/>
  <c r="J75" i="26"/>
  <c r="J99" i="26" s="1"/>
  <c r="J76" i="26"/>
  <c r="J70" i="26"/>
  <c r="J98" i="26" s="1"/>
  <c r="J74" i="26"/>
  <c r="J68" i="26"/>
  <c r="C68" i="26"/>
  <c r="J96" i="26" l="1"/>
  <c r="T98" i="26"/>
  <c r="N98" i="26"/>
  <c r="R98" i="26"/>
  <c r="L98" i="26"/>
  <c r="J97" i="26"/>
  <c r="T97" i="26"/>
  <c r="P98" i="26"/>
  <c r="N97" i="26"/>
  <c r="P97" i="26"/>
  <c r="R97" i="26"/>
  <c r="L97" i="26"/>
  <c r="T96" i="26"/>
  <c r="N96" i="26"/>
  <c r="R96" i="26"/>
  <c r="V11" i="26"/>
  <c r="U33" i="26" s="1"/>
  <c r="V33" i="26" s="1"/>
  <c r="S33" i="26"/>
  <c r="T33" i="26" s="1"/>
  <c r="Q33" i="26"/>
  <c r="R33" i="26" s="1"/>
  <c r="G68" i="26"/>
  <c r="G96" i="26" s="1"/>
  <c r="G70" i="26"/>
  <c r="G98" i="26" s="1"/>
  <c r="G69" i="26"/>
  <c r="G97" i="26" s="1"/>
  <c r="D99" i="23" l="1"/>
  <c r="B100" i="23" s="1"/>
  <c r="D94" i="23"/>
  <c r="B95" i="23" s="1"/>
  <c r="D40" i="23"/>
  <c r="B41" i="23" l="1"/>
  <c r="A41" i="23"/>
  <c r="F40" i="23"/>
  <c r="F41" i="23" s="1"/>
  <c r="L40" i="23"/>
  <c r="L41" i="23" s="1"/>
  <c r="M40" i="23"/>
  <c r="M41" i="23" s="1"/>
  <c r="J40" i="23"/>
  <c r="J41" i="23" s="1"/>
  <c r="N40" i="23"/>
  <c r="N41" i="23" s="1"/>
  <c r="K40" i="23"/>
  <c r="K41" i="23" s="1"/>
  <c r="O40" i="23"/>
  <c r="O41" i="23" s="1"/>
  <c r="G40" i="23"/>
  <c r="G41" i="23" s="1"/>
  <c r="I40" i="23"/>
  <c r="I41" i="23" s="1"/>
  <c r="H40" i="23"/>
  <c r="H41" i="23" s="1"/>
  <c r="D13" i="23"/>
  <c r="D16" i="23" s="1"/>
  <c r="D14" i="23"/>
  <c r="D8" i="23"/>
  <c r="D37" i="23" l="1"/>
  <c r="A38" i="23" s="1"/>
  <c r="D15" i="23"/>
  <c r="B38" i="23" l="1"/>
  <c r="B20" i="23"/>
  <c r="A20" i="23"/>
  <c r="M31" i="23"/>
  <c r="I31" i="23"/>
  <c r="F31" i="23"/>
  <c r="G31" i="23"/>
  <c r="J31" i="23"/>
  <c r="N31" i="23"/>
  <c r="L31" i="23"/>
  <c r="K31" i="23"/>
  <c r="O31" i="23"/>
  <c r="H31" i="23"/>
  <c r="B31" i="23"/>
  <c r="L37" i="23"/>
  <c r="M37" i="23"/>
  <c r="F37" i="23"/>
  <c r="J37" i="23"/>
  <c r="N37" i="23"/>
  <c r="K37" i="23"/>
  <c r="O37" i="23"/>
  <c r="G37" i="23"/>
  <c r="I37" i="23"/>
  <c r="H37" i="23"/>
  <c r="A42" i="23"/>
  <c r="K33" i="26"/>
  <c r="L33" i="26" s="1"/>
  <c r="M33" i="26"/>
  <c r="N33" i="26" s="1"/>
  <c r="O33" i="26"/>
  <c r="P33" i="26" s="1"/>
  <c r="H38" i="23" l="1"/>
  <c r="H42" i="23" s="1"/>
  <c r="K38" i="23"/>
  <c r="K42" i="23" s="1"/>
  <c r="M38" i="23"/>
  <c r="M42" i="23" s="1"/>
  <c r="I38" i="23"/>
  <c r="I42" i="23" s="1"/>
  <c r="N38" i="23"/>
  <c r="N42" i="23" s="1"/>
  <c r="L38" i="23"/>
  <c r="L42" i="23" s="1"/>
  <c r="G38" i="23"/>
  <c r="G42" i="23" s="1"/>
  <c r="J38" i="23"/>
  <c r="J42" i="23" s="1"/>
  <c r="O38" i="23"/>
  <c r="O42" i="23" s="1"/>
  <c r="F38" i="23"/>
  <c r="F42" i="23" s="1"/>
  <c r="A31" i="23"/>
  <c r="A34" i="23" s="1"/>
  <c r="I34" i="23"/>
  <c r="I35" i="23"/>
  <c r="I32" i="23"/>
  <c r="I33" i="23"/>
  <c r="I67" i="23"/>
  <c r="I66" i="23"/>
  <c r="K67" i="23"/>
  <c r="K66" i="23"/>
  <c r="K33" i="23"/>
  <c r="K34" i="23"/>
  <c r="K35" i="23"/>
  <c r="K32" i="23"/>
  <c r="G33" i="23"/>
  <c r="G67" i="23"/>
  <c r="G35" i="23"/>
  <c r="G66" i="23"/>
  <c r="G34" i="23"/>
  <c r="G32" i="23"/>
  <c r="L35" i="23"/>
  <c r="L67" i="23"/>
  <c r="L34" i="23"/>
  <c r="L33" i="23"/>
  <c r="L32" i="23"/>
  <c r="L66" i="23"/>
  <c r="F34" i="23"/>
  <c r="F32" i="23"/>
  <c r="F67" i="23"/>
  <c r="F33" i="23"/>
  <c r="F66" i="23"/>
  <c r="F35" i="23"/>
  <c r="H35" i="23"/>
  <c r="H66" i="23"/>
  <c r="H67" i="23"/>
  <c r="H32" i="23"/>
  <c r="H33" i="23"/>
  <c r="H34" i="23"/>
  <c r="N33" i="23"/>
  <c r="N34" i="23"/>
  <c r="N35" i="23"/>
  <c r="N67" i="23"/>
  <c r="N66" i="23"/>
  <c r="N32" i="23"/>
  <c r="O35" i="23"/>
  <c r="O67" i="23"/>
  <c r="O66" i="23"/>
  <c r="O33" i="23"/>
  <c r="O32" i="23"/>
  <c r="O34" i="23"/>
  <c r="J66" i="23"/>
  <c r="D66" i="23" s="1"/>
  <c r="J33" i="23"/>
  <c r="J32" i="23"/>
  <c r="J34" i="23"/>
  <c r="J35" i="23"/>
  <c r="J67" i="23"/>
  <c r="M35" i="23"/>
  <c r="M33" i="23"/>
  <c r="M67" i="23"/>
  <c r="M32" i="23"/>
  <c r="M66" i="23"/>
  <c r="M34" i="23"/>
  <c r="F33" i="26"/>
  <c r="G33" i="26" s="1"/>
  <c r="U34" i="26"/>
  <c r="V34" i="26" s="1"/>
  <c r="V19" i="26" s="1"/>
  <c r="V17" i="26" s="1"/>
  <c r="V13" i="26" s="1"/>
  <c r="V15" i="26" s="1"/>
  <c r="I33" i="26"/>
  <c r="J33" i="26" s="1"/>
  <c r="D67" i="23" l="1"/>
  <c r="A33" i="23"/>
  <c r="A32" i="23"/>
  <c r="B33" i="23" s="1"/>
  <c r="J79" i="23"/>
  <c r="J90" i="23"/>
  <c r="J68" i="23"/>
  <c r="G79" i="23"/>
  <c r="G90" i="23"/>
  <c r="G68" i="23"/>
  <c r="M68" i="23"/>
  <c r="M90" i="23"/>
  <c r="M79" i="23"/>
  <c r="K68" i="23"/>
  <c r="K79" i="23"/>
  <c r="K90" i="23"/>
  <c r="I79" i="23"/>
  <c r="I68" i="23"/>
  <c r="I90" i="23"/>
  <c r="F68" i="23"/>
  <c r="F79" i="23"/>
  <c r="F90" i="23"/>
  <c r="L68" i="23"/>
  <c r="L90" i="23"/>
  <c r="L79" i="23"/>
  <c r="O68" i="23"/>
  <c r="O90" i="23"/>
  <c r="O79" i="23"/>
  <c r="N68" i="23"/>
  <c r="N90" i="23"/>
  <c r="N79" i="23"/>
  <c r="H90" i="23"/>
  <c r="H68" i="23"/>
  <c r="H79" i="23"/>
  <c r="A35" i="23"/>
  <c r="B34" i="23" s="1"/>
  <c r="L65" i="23"/>
  <c r="G65" i="23"/>
  <c r="I65" i="23"/>
  <c r="O65" i="23"/>
  <c r="N65" i="23"/>
  <c r="H65" i="23"/>
  <c r="F65" i="23"/>
  <c r="M65" i="23"/>
  <c r="J89" i="23"/>
  <c r="J88" i="23"/>
  <c r="O89" i="23"/>
  <c r="O88" i="23"/>
  <c r="F89" i="23"/>
  <c r="F88" i="23"/>
  <c r="G77" i="23"/>
  <c r="G78" i="23"/>
  <c r="M89" i="23"/>
  <c r="M88" i="23"/>
  <c r="N77" i="23"/>
  <c r="N78" i="23"/>
  <c r="H89" i="23"/>
  <c r="H88" i="23"/>
  <c r="G88" i="23"/>
  <c r="G89" i="23"/>
  <c r="M77" i="23"/>
  <c r="M78" i="23"/>
  <c r="J65" i="23"/>
  <c r="J78" i="23"/>
  <c r="J77" i="23"/>
  <c r="O77" i="23"/>
  <c r="O78" i="23"/>
  <c r="L89" i="23"/>
  <c r="L88" i="23"/>
  <c r="I89" i="23"/>
  <c r="I88" i="23"/>
  <c r="K88" i="23"/>
  <c r="K89" i="23"/>
  <c r="I78" i="23"/>
  <c r="I77" i="23"/>
  <c r="N88" i="23"/>
  <c r="N89" i="23"/>
  <c r="H78" i="23"/>
  <c r="H77" i="23"/>
  <c r="F77" i="23"/>
  <c r="F78" i="23"/>
  <c r="L77" i="23"/>
  <c r="L78" i="23"/>
  <c r="K78" i="23"/>
  <c r="K77" i="23"/>
  <c r="K65" i="23"/>
  <c r="D90" i="23"/>
  <c r="B32" i="23"/>
  <c r="B42" i="23"/>
  <c r="F16" i="18"/>
  <c r="G16" i="18" s="1"/>
  <c r="F15" i="18"/>
  <c r="H15" i="18" s="1"/>
  <c r="H13" i="18"/>
  <c r="F13" i="18"/>
  <c r="G13" i="18" s="1"/>
  <c r="F12" i="18"/>
  <c r="H12" i="18" s="1"/>
  <c r="F11" i="18"/>
  <c r="G11" i="18" s="1"/>
  <c r="F10" i="18"/>
  <c r="H10" i="18" s="1"/>
  <c r="H9" i="18"/>
  <c r="F9" i="18"/>
  <c r="G9" i="18" s="1"/>
  <c r="G5" i="18"/>
  <c r="A5" i="18"/>
  <c r="A4" i="18"/>
  <c r="G2" i="18"/>
  <c r="D17" i="18" s="1"/>
  <c r="F17" i="18" s="1"/>
  <c r="D65" i="23" l="1"/>
  <c r="D77" i="23"/>
  <c r="D88" i="23"/>
  <c r="D89" i="23"/>
  <c r="M87" i="23"/>
  <c r="G76" i="23"/>
  <c r="N76" i="23"/>
  <c r="O87" i="23"/>
  <c r="F76" i="23"/>
  <c r="N87" i="23"/>
  <c r="G87" i="23"/>
  <c r="L76" i="23"/>
  <c r="H76" i="23"/>
  <c r="I76" i="23"/>
  <c r="I87" i="23"/>
  <c r="M76" i="23"/>
  <c r="H87" i="23"/>
  <c r="F87" i="23"/>
  <c r="K76" i="23"/>
  <c r="O76" i="23"/>
  <c r="K87" i="23"/>
  <c r="L87" i="23"/>
  <c r="J76" i="23"/>
  <c r="J87" i="23"/>
  <c r="D68" i="23"/>
  <c r="D79" i="23"/>
  <c r="B116" i="23"/>
  <c r="G17" i="18"/>
  <c r="H17" i="18"/>
  <c r="G3" i="18"/>
  <c r="G10" i="18"/>
  <c r="H11" i="18"/>
  <c r="G18" i="18" s="1"/>
  <c r="G15" i="18"/>
  <c r="H16" i="18"/>
  <c r="G12" i="18"/>
  <c r="B4" i="15"/>
  <c r="B3" i="15"/>
  <c r="C4" i="15"/>
  <c r="D4" i="15"/>
  <c r="C3" i="15"/>
  <c r="D3" i="15"/>
  <c r="D17" i="14"/>
  <c r="H16" i="14"/>
  <c r="F16" i="14"/>
  <c r="G16" i="14"/>
  <c r="G15" i="14"/>
  <c r="F15" i="14"/>
  <c r="H15" i="14"/>
  <c r="F13" i="14"/>
  <c r="H13" i="14"/>
  <c r="H12" i="14"/>
  <c r="G12" i="14"/>
  <c r="F12" i="14"/>
  <c r="H11" i="14"/>
  <c r="F11" i="14"/>
  <c r="G11" i="14"/>
  <c r="G10" i="14"/>
  <c r="F10" i="14"/>
  <c r="H10" i="14"/>
  <c r="F9" i="14"/>
  <c r="H9" i="14"/>
  <c r="G5" i="14"/>
  <c r="A5" i="14"/>
  <c r="A4" i="14"/>
  <c r="G2" i="14"/>
  <c r="G3" i="14"/>
  <c r="G2" i="11"/>
  <c r="G3" i="11"/>
  <c r="A4" i="11"/>
  <c r="A5" i="11"/>
  <c r="G5" i="11"/>
  <c r="F9" i="11"/>
  <c r="G9" i="11"/>
  <c r="F10" i="11"/>
  <c r="G10" i="11"/>
  <c r="F11" i="11"/>
  <c r="G11" i="11"/>
  <c r="F12" i="11"/>
  <c r="H12" i="11"/>
  <c r="F13" i="11"/>
  <c r="G13" i="11"/>
  <c r="H13" i="11"/>
  <c r="F15" i="11"/>
  <c r="G15" i="11"/>
  <c r="F16" i="11"/>
  <c r="G16" i="11"/>
  <c r="D17" i="11"/>
  <c r="F17" i="11"/>
  <c r="G17" i="11"/>
  <c r="G2" i="10"/>
  <c r="G3" i="10"/>
  <c r="A4" i="10"/>
  <c r="A5" i="10"/>
  <c r="G5" i="10"/>
  <c r="F9" i="10"/>
  <c r="G9" i="10"/>
  <c r="F10" i="10"/>
  <c r="G10" i="10"/>
  <c r="F11" i="10"/>
  <c r="H11" i="10"/>
  <c r="G11" i="10"/>
  <c r="F12" i="10"/>
  <c r="G12" i="10"/>
  <c r="H12" i="10"/>
  <c r="F13" i="10"/>
  <c r="H13" i="10"/>
  <c r="G13" i="10"/>
  <c r="F15" i="10"/>
  <c r="G15" i="10"/>
  <c r="F16" i="10"/>
  <c r="H16" i="10"/>
  <c r="G9" i="14"/>
  <c r="G13" i="14"/>
  <c r="F17" i="14"/>
  <c r="D17" i="10"/>
  <c r="F17" i="10"/>
  <c r="H17" i="10"/>
  <c r="H9" i="10"/>
  <c r="G12" i="11"/>
  <c r="H9" i="11"/>
  <c r="G16" i="10"/>
  <c r="H15" i="11"/>
  <c r="H10" i="11"/>
  <c r="H17" i="11"/>
  <c r="H16" i="11"/>
  <c r="H11" i="11"/>
  <c r="H15" i="10"/>
  <c r="H10" i="10"/>
  <c r="G17" i="14"/>
  <c r="H17" i="14"/>
  <c r="G18" i="14"/>
  <c r="G17" i="10"/>
  <c r="G18" i="10"/>
  <c r="A19" i="10"/>
  <c r="G18" i="11"/>
  <c r="G19" i="14"/>
  <c r="A19" i="14"/>
  <c r="G19" i="10"/>
  <c r="G19" i="11"/>
  <c r="A19" i="11"/>
  <c r="D45" i="1"/>
  <c r="G16" i="4"/>
  <c r="G15" i="4"/>
  <c r="G14" i="4"/>
  <c r="G13" i="4"/>
  <c r="G12" i="4"/>
  <c r="G11" i="4"/>
  <c r="G8" i="4"/>
  <c r="G7" i="4"/>
  <c r="G6" i="4"/>
  <c r="G5" i="4"/>
  <c r="G4" i="4"/>
  <c r="G8" i="2"/>
  <c r="G4" i="2"/>
  <c r="G36" i="1"/>
  <c r="G6" i="1"/>
  <c r="G7" i="1"/>
  <c r="G5" i="1"/>
  <c r="G4" i="1"/>
  <c r="G12" i="1"/>
  <c r="G16" i="1"/>
  <c r="G15" i="1"/>
  <c r="G14" i="1"/>
  <c r="G13" i="1"/>
  <c r="G11" i="1"/>
  <c r="G8" i="1"/>
  <c r="D33" i="1"/>
  <c r="E27" i="1"/>
  <c r="C23" i="1"/>
  <c r="C25" i="1"/>
  <c r="E23" i="1"/>
  <c r="D76" i="23" l="1"/>
  <c r="D87" i="23"/>
  <c r="G19" i="18"/>
  <c r="A19" i="18"/>
  <c r="D78" i="23" l="1"/>
  <c r="J25" i="23"/>
  <c r="F61" i="23"/>
  <c r="I21" i="23"/>
  <c r="H21" i="23"/>
  <c r="G22" i="23"/>
  <c r="M25" i="23"/>
  <c r="O61" i="23"/>
  <c r="O22" i="23" l="1"/>
  <c r="O83" i="23" s="1"/>
  <c r="O25" i="23"/>
  <c r="O27" i="23" s="1"/>
  <c r="O85" i="23" s="1"/>
  <c r="K25" i="23"/>
  <c r="K45" i="23" s="1"/>
  <c r="I61" i="23"/>
  <c r="H72" i="23"/>
  <c r="H71" i="23" s="1"/>
  <c r="M26" i="23"/>
  <c r="M64" i="23"/>
  <c r="M29" i="23"/>
  <c r="M27" i="23"/>
  <c r="M63" i="23"/>
  <c r="M28" i="23"/>
  <c r="G83" i="23"/>
  <c r="G82" i="23" s="1"/>
  <c r="I72" i="23"/>
  <c r="I71" i="23" s="1"/>
  <c r="L21" i="23"/>
  <c r="L22" i="23"/>
  <c r="N22" i="23"/>
  <c r="N21" i="23"/>
  <c r="K61" i="23"/>
  <c r="K60" i="23" s="1"/>
  <c r="J27" i="23"/>
  <c r="J64" i="23"/>
  <c r="H25" i="23"/>
  <c r="H45" i="23" s="1"/>
  <c r="B21" i="23"/>
  <c r="A22" i="23"/>
  <c r="B22" i="23"/>
  <c r="A21" i="23"/>
  <c r="A25" i="23"/>
  <c r="G21" i="23"/>
  <c r="L61" i="23"/>
  <c r="L60" i="23" s="1"/>
  <c r="O60" i="23"/>
  <c r="O21" i="23"/>
  <c r="M61" i="23"/>
  <c r="M60" i="23" s="1"/>
  <c r="L25" i="23"/>
  <c r="L45" i="23" s="1"/>
  <c r="M21" i="23"/>
  <c r="H61" i="23"/>
  <c r="H60" i="23" s="1"/>
  <c r="I22" i="23"/>
  <c r="I60" i="23"/>
  <c r="J45" i="23"/>
  <c r="J22" i="23"/>
  <c r="J61" i="23"/>
  <c r="J21" i="23"/>
  <c r="I25" i="23"/>
  <c r="J63" i="23"/>
  <c r="B25" i="23"/>
  <c r="M22" i="23"/>
  <c r="H22" i="23"/>
  <c r="F60" i="23"/>
  <c r="F22" i="23"/>
  <c r="F25" i="23"/>
  <c r="J28" i="23"/>
  <c r="J26" i="23"/>
  <c r="N61" i="23"/>
  <c r="N60" i="23" s="1"/>
  <c r="O82" i="23"/>
  <c r="M45" i="23"/>
  <c r="N25" i="23"/>
  <c r="K22" i="23"/>
  <c r="K21" i="23"/>
  <c r="G25" i="23"/>
  <c r="G45" i="23" s="1"/>
  <c r="G61" i="23"/>
  <c r="G60" i="23" s="1"/>
  <c r="F21" i="23"/>
  <c r="J29" i="23"/>
  <c r="D61" i="23" l="1"/>
  <c r="O64" i="23"/>
  <c r="O63" i="23"/>
  <c r="O86" i="23"/>
  <c r="O84" i="23" s="1"/>
  <c r="O81" i="23" s="1"/>
  <c r="O91" i="23" s="1"/>
  <c r="O45" i="23"/>
  <c r="K64" i="23"/>
  <c r="O29" i="23"/>
  <c r="O26" i="23"/>
  <c r="O46" i="23" s="1"/>
  <c r="O28" i="23"/>
  <c r="K28" i="23"/>
  <c r="K27" i="23"/>
  <c r="K85" i="23" s="1"/>
  <c r="K26" i="23"/>
  <c r="K75" i="23" s="1"/>
  <c r="K63" i="23"/>
  <c r="K29" i="23"/>
  <c r="M62" i="23"/>
  <c r="M59" i="23" s="1"/>
  <c r="O47" i="23"/>
  <c r="M85" i="23"/>
  <c r="M86" i="23"/>
  <c r="N63" i="23"/>
  <c r="D63" i="23" s="1"/>
  <c r="N64" i="23"/>
  <c r="D64" i="23" s="1"/>
  <c r="N27" i="23"/>
  <c r="N47" i="23" s="1"/>
  <c r="N28" i="23"/>
  <c r="N29" i="23"/>
  <c r="N26" i="23"/>
  <c r="N46" i="23" s="1"/>
  <c r="H83" i="23"/>
  <c r="H82" i="23" s="1"/>
  <c r="J47" i="23"/>
  <c r="J83" i="23"/>
  <c r="I83" i="23"/>
  <c r="I82" i="23" s="1"/>
  <c r="N45" i="23"/>
  <c r="D45" i="23" s="1"/>
  <c r="A29" i="23"/>
  <c r="A26" i="23"/>
  <c r="A27" i="23"/>
  <c r="B27" i="23"/>
  <c r="A28" i="23"/>
  <c r="B28" i="23" s="1"/>
  <c r="B26" i="23"/>
  <c r="A59" i="23"/>
  <c r="J62" i="23"/>
  <c r="N72" i="23"/>
  <c r="N71" i="23" s="1"/>
  <c r="L83" i="23"/>
  <c r="L82" i="23" s="1"/>
  <c r="F72" i="23"/>
  <c r="F71" i="23" s="1"/>
  <c r="G28" i="23"/>
  <c r="G27" i="23"/>
  <c r="G64" i="23"/>
  <c r="G26" i="23"/>
  <c r="G46" i="23" s="1"/>
  <c r="G63" i="23"/>
  <c r="G29" i="23"/>
  <c r="J75" i="23"/>
  <c r="J74" i="23"/>
  <c r="F27" i="23"/>
  <c r="F47" i="23" s="1"/>
  <c r="F63" i="23"/>
  <c r="F64" i="23"/>
  <c r="F29" i="23"/>
  <c r="F28" i="23"/>
  <c r="F26" i="23"/>
  <c r="F46" i="23" s="1"/>
  <c r="M83" i="23"/>
  <c r="M82" i="23" s="1"/>
  <c r="M47" i="23"/>
  <c r="I29" i="23"/>
  <c r="I63" i="23"/>
  <c r="I26" i="23"/>
  <c r="I27" i="23"/>
  <c r="I47" i="23" s="1"/>
  <c r="I28" i="23"/>
  <c r="I45" i="23"/>
  <c r="I64" i="23"/>
  <c r="M46" i="23"/>
  <c r="M72" i="23"/>
  <c r="M71" i="23" s="1"/>
  <c r="L72" i="23"/>
  <c r="L71" i="23" s="1"/>
  <c r="K83" i="23"/>
  <c r="K82" i="23" s="1"/>
  <c r="O72" i="23"/>
  <c r="O71" i="23" s="1"/>
  <c r="G72" i="23"/>
  <c r="G71" i="23" s="1"/>
  <c r="J85" i="23"/>
  <c r="J86" i="23"/>
  <c r="F45" i="23"/>
  <c r="K72" i="23"/>
  <c r="K71" i="23" s="1"/>
  <c r="F83" i="23"/>
  <c r="F82" i="23" s="1"/>
  <c r="J72" i="23"/>
  <c r="J46" i="23"/>
  <c r="J60" i="23"/>
  <c r="L29" i="23"/>
  <c r="L63" i="23"/>
  <c r="L28" i="23"/>
  <c r="L27" i="23"/>
  <c r="L26" i="23"/>
  <c r="L64" i="23"/>
  <c r="H63" i="23"/>
  <c r="H64" i="23"/>
  <c r="H28" i="23"/>
  <c r="H26" i="23"/>
  <c r="H29" i="23"/>
  <c r="H27" i="23"/>
  <c r="N83" i="23"/>
  <c r="N82" i="23" s="1"/>
  <c r="M75" i="23"/>
  <c r="M74" i="23"/>
  <c r="O75" i="23" l="1"/>
  <c r="K46" i="23"/>
  <c r="D46" i="23" s="1"/>
  <c r="D72" i="23"/>
  <c r="D83" i="23"/>
  <c r="O62" i="23"/>
  <c r="O59" i="23" s="1"/>
  <c r="O49" i="23" s="1"/>
  <c r="O74" i="23"/>
  <c r="O73" i="23" s="1"/>
  <c r="O70" i="23" s="1"/>
  <c r="O80" i="23" s="1"/>
  <c r="K74" i="23"/>
  <c r="K73" i="23" s="1"/>
  <c r="K70" i="23" s="1"/>
  <c r="K80" i="23" s="1"/>
  <c r="K86" i="23"/>
  <c r="K84" i="23" s="1"/>
  <c r="K81" i="23" s="1"/>
  <c r="K91" i="23" s="1"/>
  <c r="K47" i="23"/>
  <c r="D47" i="23" s="1"/>
  <c r="L62" i="23"/>
  <c r="L59" i="23" s="1"/>
  <c r="L48" i="23" s="1"/>
  <c r="H62" i="23"/>
  <c r="H59" i="23" s="1"/>
  <c r="H49" i="23" s="1"/>
  <c r="N62" i="23"/>
  <c r="N59" i="23" s="1"/>
  <c r="N48" i="23" s="1"/>
  <c r="O48" i="23"/>
  <c r="M48" i="23"/>
  <c r="M69" i="23"/>
  <c r="M49" i="23"/>
  <c r="A70" i="23"/>
  <c r="K62" i="23"/>
  <c r="K59" i="23" s="1"/>
  <c r="M84" i="23"/>
  <c r="M81" i="23" s="1"/>
  <c r="M91" i="23" s="1"/>
  <c r="M73" i="23"/>
  <c r="M70" i="23" s="1"/>
  <c r="J71" i="23"/>
  <c r="D81" i="23" s="1"/>
  <c r="I62" i="23"/>
  <c r="I59" i="23" s="1"/>
  <c r="I69" i="23" s="1"/>
  <c r="F62" i="23"/>
  <c r="F59" i="23" s="1"/>
  <c r="G62" i="23"/>
  <c r="G59" i="23" s="1"/>
  <c r="A71" i="23"/>
  <c r="L75" i="23"/>
  <c r="L74" i="23"/>
  <c r="D60" i="23"/>
  <c r="J59" i="23"/>
  <c r="I74" i="23"/>
  <c r="I75" i="23"/>
  <c r="I46" i="23"/>
  <c r="G86" i="23"/>
  <c r="G85" i="23"/>
  <c r="G47" i="23"/>
  <c r="F74" i="23"/>
  <c r="F75" i="23"/>
  <c r="J73" i="23"/>
  <c r="G74" i="23"/>
  <c r="G75" i="23"/>
  <c r="J82" i="23"/>
  <c r="L46" i="23"/>
  <c r="N85" i="23"/>
  <c r="D85" i="23" s="1"/>
  <c r="N86" i="23"/>
  <c r="D86" i="23" s="1"/>
  <c r="H74" i="23"/>
  <c r="H75" i="23"/>
  <c r="H46" i="23"/>
  <c r="H86" i="23"/>
  <c r="H85" i="23"/>
  <c r="L86" i="23"/>
  <c r="L85" i="23"/>
  <c r="J84" i="23"/>
  <c r="I85" i="23"/>
  <c r="I86" i="23"/>
  <c r="F85" i="23"/>
  <c r="F86" i="23"/>
  <c r="L47" i="23"/>
  <c r="H47" i="23"/>
  <c r="N74" i="23"/>
  <c r="D74" i="23" s="1"/>
  <c r="N75" i="23"/>
  <c r="D75" i="23" s="1"/>
  <c r="O69" i="23" l="1"/>
  <c r="D62" i="23"/>
  <c r="J70" i="23"/>
  <c r="G10" i="26" s="1"/>
  <c r="F34" i="26" s="1"/>
  <c r="G34" i="26" s="1"/>
  <c r="G19" i="26" s="1"/>
  <c r="G17" i="26" s="1"/>
  <c r="G13" i="26" s="1"/>
  <c r="G15" i="26" s="1"/>
  <c r="L69" i="23"/>
  <c r="D71" i="23"/>
  <c r="L49" i="23"/>
  <c r="H48" i="23"/>
  <c r="H69" i="23"/>
  <c r="H73" i="23"/>
  <c r="H70" i="23" s="1"/>
  <c r="H80" i="23" s="1"/>
  <c r="N69" i="23"/>
  <c r="N49" i="23"/>
  <c r="G69" i="23"/>
  <c r="G48" i="23"/>
  <c r="G49" i="23"/>
  <c r="F48" i="23"/>
  <c r="F49" i="23"/>
  <c r="F69" i="23"/>
  <c r="H84" i="23"/>
  <c r="H81" i="23" s="1"/>
  <c r="H91" i="23" s="1"/>
  <c r="G73" i="23"/>
  <c r="G70" i="23" s="1"/>
  <c r="M80" i="23"/>
  <c r="K49" i="23"/>
  <c r="K48" i="23"/>
  <c r="K69" i="23"/>
  <c r="I49" i="23"/>
  <c r="I84" i="23"/>
  <c r="I81" i="23" s="1"/>
  <c r="I91" i="23" s="1"/>
  <c r="L84" i="23"/>
  <c r="L81" i="23" s="1"/>
  <c r="L91" i="23" s="1"/>
  <c r="G84" i="23"/>
  <c r="G81" i="23" s="1"/>
  <c r="G91" i="23" s="1"/>
  <c r="N73" i="23"/>
  <c r="N70" i="23" s="1"/>
  <c r="R10" i="26" s="1"/>
  <c r="Q34" i="26" s="1"/>
  <c r="R34" i="26" s="1"/>
  <c r="R19" i="26" s="1"/>
  <c r="R17" i="26" s="1"/>
  <c r="R13" i="26" s="1"/>
  <c r="R15" i="26" s="1"/>
  <c r="F84" i="23"/>
  <c r="F81" i="23" s="1"/>
  <c r="F91" i="23" s="1"/>
  <c r="L73" i="23"/>
  <c r="L70" i="23" s="1"/>
  <c r="L80" i="23" s="1"/>
  <c r="F73" i="23"/>
  <c r="F70" i="23" s="1"/>
  <c r="F80" i="23" s="1"/>
  <c r="I48" i="23"/>
  <c r="N84" i="23"/>
  <c r="N81" i="23" s="1"/>
  <c r="N91" i="23" s="1"/>
  <c r="I73" i="23"/>
  <c r="I70" i="23" s="1"/>
  <c r="I80" i="23" s="1"/>
  <c r="J81" i="23"/>
  <c r="J91" i="23" s="1"/>
  <c r="D82" i="23"/>
  <c r="J48" i="23"/>
  <c r="D48" i="23" s="1"/>
  <c r="J69" i="23"/>
  <c r="J49" i="23"/>
  <c r="D49" i="23" s="1"/>
  <c r="D59" i="23"/>
  <c r="J80" i="23"/>
  <c r="N10" i="26" l="1"/>
  <c r="M34" i="26" s="1"/>
  <c r="N34" i="26" s="1"/>
  <c r="N19" i="26" s="1"/>
  <c r="N17" i="26" s="1"/>
  <c r="N13" i="26" s="1"/>
  <c r="N15" i="26" s="1"/>
  <c r="D70" i="23"/>
  <c r="D84" i="23"/>
  <c r="D91" i="23"/>
  <c r="D69" i="23"/>
  <c r="L10" i="26"/>
  <c r="K34" i="26" s="1"/>
  <c r="L34" i="26" s="1"/>
  <c r="L19" i="26" s="1"/>
  <c r="L17" i="26" s="1"/>
  <c r="L13" i="26" s="1"/>
  <c r="L15" i="26" s="1"/>
  <c r="D73" i="23"/>
  <c r="P10" i="26"/>
  <c r="O34" i="26" s="1"/>
  <c r="P34" i="26" s="1"/>
  <c r="P19" i="26" s="1"/>
  <c r="P17" i="26" s="1"/>
  <c r="P13" i="26" s="1"/>
  <c r="P15" i="26" s="1"/>
  <c r="J10" i="26"/>
  <c r="I34" i="26" s="1"/>
  <c r="J34" i="26" s="1"/>
  <c r="J19" i="26" s="1"/>
  <c r="J17" i="26" s="1"/>
  <c r="J13" i="26" s="1"/>
  <c r="J15" i="26" s="1"/>
  <c r="G80" i="23"/>
  <c r="T10" i="26"/>
  <c r="S34" i="26" s="1"/>
  <c r="T34" i="26" s="1"/>
  <c r="T19" i="26" s="1"/>
  <c r="T17" i="26" s="1"/>
  <c r="T13" i="26" s="1"/>
  <c r="T15" i="26" s="1"/>
  <c r="N80" i="23"/>
  <c r="D80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Чевела Игорь Александрович</author>
  </authors>
  <commentList>
    <comment ref="B41" authorId="0" shapeId="0" xr:uid="{43888B05-31C8-4FAF-8BBA-37228FA567F7}">
      <text>
        <r>
          <rPr>
            <b/>
            <sz val="9"/>
            <color indexed="81"/>
            <rFont val="Tahoma"/>
            <family val="2"/>
            <charset val="204"/>
          </rPr>
          <t>Чевела Игорь Александрович:</t>
        </r>
        <r>
          <rPr>
            <sz val="9"/>
            <color indexed="81"/>
            <rFont val="Tahoma"/>
            <family val="2"/>
            <charset val="204"/>
          </rPr>
          <t xml:space="preserve">
Своя формула: не менее 1м/м, не более 4м/м
</t>
        </r>
      </text>
    </comment>
  </commentList>
</comments>
</file>

<file path=xl/sharedStrings.xml><?xml version="1.0" encoding="utf-8"?>
<sst xmlns="http://schemas.openxmlformats.org/spreadsheetml/2006/main" count="1301" uniqueCount="690">
  <si>
    <t>Интерполяция</t>
  </si>
  <si>
    <t>х2</t>
  </si>
  <si>
    <t>x0</t>
  </si>
  <si>
    <t>x1</t>
  </si>
  <si>
    <t>f(x0)</t>
  </si>
  <si>
    <t>f(x1)</t>
  </si>
  <si>
    <t>f(x2)</t>
  </si>
  <si>
    <t>исходные</t>
  </si>
  <si>
    <t>конечные</t>
  </si>
  <si>
    <t>ПОС,кран+груз</t>
  </si>
  <si>
    <t>ПОС,здание+мелкий материал</t>
  </si>
  <si>
    <t>ПЗУ, машиноместа</t>
  </si>
  <si>
    <t>&lt;=</t>
  </si>
  <si>
    <t>&gt;=</t>
  </si>
  <si>
    <t>ПЗУ, машиноместа-ДП</t>
  </si>
  <si>
    <t>потребляемая мощность УМ-400 при неполной загрузке</t>
  </si>
  <si>
    <t xml:space="preserve">Г10.02 МЕТА </t>
  </si>
  <si>
    <t>Расход ГВС (G) - потери</t>
  </si>
  <si>
    <t>таблицы расстояний</t>
  </si>
  <si>
    <t>Поз.1</t>
  </si>
  <si>
    <t>Расстояние, min, м</t>
  </si>
  <si>
    <t>Расстояние, max, м</t>
  </si>
  <si>
    <t>Поз.2</t>
  </si>
  <si>
    <t>Норма</t>
  </si>
  <si>
    <t>Цитата</t>
  </si>
  <si>
    <t>жилой дом</t>
  </si>
  <si>
    <t>дет.пл.</t>
  </si>
  <si>
    <t>СП42 п.7.5</t>
  </si>
  <si>
    <t xml:space="preserve">Размещение площадок необходимо предусматривать на расстоянии от окон жилых и общественных зданий не менее, м:
для игр детей дошкольного и младшего школьного возраста 12
для отдыха взрослого населения 10
для занятий физкультурой (в зависимости от шумовых характеристик*) 10 - 40
для хозяйственных целей 20
для выгула собак 40
для стоянки автомашин по таблице 10
* Наибольшие значения принимать для хоккейных и футбольных площадок, наименьшие - для площадок для настольного тенниса.
Расстояния от площадок для сушки белья не нормируются; расстояния от площадок для мусоросборников до физкультурных площадок, площадок для игр детей и отдыха взрослых, а также до границ детских дошкольных учреждений, лечебных учреждений и учреждений питания следует принимать не менее 20 м, а от площадок для хозяйственных целей до наиболее удаленного входа в жилое здание - не более 100 м (для домов с мусоропроводами) и 50 м (для домов без мусоропроводов).
</t>
  </si>
  <si>
    <t>пл.для отдыха вз.нас.</t>
  </si>
  <si>
    <t>спорт.пл</t>
  </si>
  <si>
    <t>мусосбор.пл</t>
  </si>
  <si>
    <t>без.мусор.провода</t>
  </si>
  <si>
    <t>с.мусор.провода</t>
  </si>
  <si>
    <t>не норм.</t>
  </si>
  <si>
    <t>суш.белья</t>
  </si>
  <si>
    <t>хоз.пл.</t>
  </si>
  <si>
    <t>пл.для выгула животных</t>
  </si>
  <si>
    <t>тп</t>
  </si>
  <si>
    <t>СП42</t>
  </si>
  <si>
    <t>12.26 При размещении отдельно стоящих распределительных пунктов и трансформаторных подстанций напряжением 10 (6) - 20 кВ при числе трансформаторов не более двух мощностью каждого до 1000 кВА расстояние от них до окон жилых домов и общественных зданий следует принимать с учетом допустимых уровней шума и вибрации, но не менее 10 м, а до зданий лечебно-профилактических учреждений - не менее 15 м.</t>
  </si>
  <si>
    <t>см. отдельно</t>
  </si>
  <si>
    <t>стоянка</t>
  </si>
  <si>
    <t>хоз. Площадка</t>
  </si>
  <si>
    <t xml:space="preserve">СанПиН 2.1.2.2645-10 </t>
  </si>
  <si>
    <t xml:space="preserve">8.2.5. Для установки контейнеров должна быть оборудована специальная площадка с бетонным или асфальтовым покрытием, ограниченная бордюром и зелеными насаждениями (кустарниками) по периметру и имеющая подъездной путь для автотранспорта.
Размер площадок должен быть рассчитан на установку необходимого числа контейнеров, но не более 5. Расстояние от контейнеров до жилых зданий, детских игровых площадок, мест отдыха и занятий спортом должно быть не менее 20 м, но не более 100 м.
</t>
  </si>
  <si>
    <t>Площадь застройки (по абрису в ур. 1го этажа)</t>
  </si>
  <si>
    <t>№ п/п</t>
  </si>
  <si>
    <t>Площадь участка проектирования</t>
  </si>
  <si>
    <t>Ед.изм.</t>
  </si>
  <si>
    <t>кв.м</t>
  </si>
  <si>
    <t>Показатель</t>
  </si>
  <si>
    <t>Прим.</t>
  </si>
  <si>
    <t>Площадьтвёрдых покрытий (всего)</t>
  </si>
  <si>
    <t>Площадь озеленения (всего)</t>
  </si>
  <si>
    <t>Площадь застройки (по СП54; СП118 с учётом подземной части и нависающих частей зданий высотой менее 4.5м)</t>
  </si>
  <si>
    <t>Файл - границы</t>
  </si>
  <si>
    <t>Файл - Здания</t>
  </si>
  <si>
    <t>Значение</t>
  </si>
  <si>
    <t>Основные технико-экономические показатели по генплану для расчёта смёта с территории (в границах ГПЗУ)</t>
  </si>
  <si>
    <t>Основные технико-экономические показатели по генплану для расчёта минимальных предельных параметров (в границах ГПЗУ)</t>
  </si>
  <si>
    <t>Площадь застройки крыльца</t>
  </si>
  <si>
    <t>Площадь застройки экспл.кровля</t>
  </si>
  <si>
    <t>Площадь засторйки (всего)</t>
  </si>
  <si>
    <t>Площадь проектирования за ГПЗУ</t>
  </si>
  <si>
    <t>Площадь проектирования в пределах ГПЗУ</t>
  </si>
  <si>
    <t>Файл - заливки</t>
  </si>
  <si>
    <t>Площадь застройки по абрису в ур. 1го этажа</t>
  </si>
  <si>
    <t>Площадь твёрдых покрытий (всего)</t>
  </si>
  <si>
    <t>Площадь твёрдых по крыльцам</t>
  </si>
  <si>
    <t>Площадь твёрдых покрытий под навсивающей частью ниже 4.5м</t>
  </si>
  <si>
    <t>Площадь застройки под нависающей частью ниже 4.5м</t>
  </si>
  <si>
    <t>Площадь озеленения по крыльцам</t>
  </si>
  <si>
    <t>Площадь озеленения по экспл. кровле</t>
  </si>
  <si>
    <t>Площадь твёрдых по экспл. кровле</t>
  </si>
  <si>
    <t>Площадь озеленения под навсивающей частью ниже 4.5м</t>
  </si>
  <si>
    <t>Площадь твёрдых покрытий (вне пл. застройки)</t>
  </si>
  <si>
    <t>Площадь озеленения (вне пл. застройки)</t>
  </si>
  <si>
    <t>ГПЗУ  / вне ГПЗУ</t>
  </si>
  <si>
    <t>МГН</t>
  </si>
  <si>
    <r>
      <t xml:space="preserve">Балльная оценка уровня потребности в местах постоянного хранения автомобилей  </t>
    </r>
    <r>
      <rPr>
        <b/>
        <sz val="11"/>
        <color theme="1"/>
        <rFont val="Calibri"/>
        <family val="2"/>
        <charset val="204"/>
        <scheme val="minor"/>
      </rPr>
      <t>Бп</t>
    </r>
  </si>
  <si>
    <t>Уточняющий коэффициент урбанизации территории города Москвы при расчете числа мест постоянного хранения автомобилей </t>
  </si>
  <si>
    <t>Более 25000 м /га</t>
  </si>
  <si>
    <t>Плотность застройки в границах земельного участка </t>
  </si>
  <si>
    <t>6.2</t>
  </si>
  <si>
    <t>- (не учитывается, т.к. рассматривается отдельный з.у.)</t>
  </si>
  <si>
    <t xml:space="preserve">Плотность застройки в границах планировочного квартала </t>
  </si>
  <si>
    <t>6.1</t>
  </si>
  <si>
    <t>Плотность застройки:</t>
  </si>
  <si>
    <t>Премиум и бизнес-класс</t>
  </si>
  <si>
    <t>Тип жилой застройки по уровню комфорта </t>
  </si>
  <si>
    <t>Более 1200м - не более 2500м</t>
  </si>
  <si>
    <t>Радиус доступности станций железнодорожного транспорта</t>
  </si>
  <si>
    <t>Доступность станций железнодорожного транспорта </t>
  </si>
  <si>
    <t>Не более 700м</t>
  </si>
  <si>
    <t>Радиус доступности станций метрополитена</t>
  </si>
  <si>
    <t>Доступность станций метрополитена</t>
  </si>
  <si>
    <t>Более 20 минут</t>
  </si>
  <si>
    <t>Интервалы движения</t>
  </si>
  <si>
    <t>Интенсивность движения НГПТ </t>
  </si>
  <si>
    <t>1 и менее</t>
  </si>
  <si>
    <t>Число остановок различных маршрутов НГПТ в пешей доступности (до 500 м)</t>
  </si>
  <si>
    <t>Доступность наземного городского пассажирского транспорта (НГПТ)</t>
  </si>
  <si>
    <t xml:space="preserve">Расчетный критерий (3)*(6) </t>
  </si>
  <si>
    <t>Весовой коэффициент к максимальному баллу по критерию i (ki)</t>
  </si>
  <si>
    <t>Значения</t>
  </si>
  <si>
    <t>Показатели</t>
  </si>
  <si>
    <t xml:space="preserve">Максимальный балл по критерию </t>
  </si>
  <si>
    <t>Критерий оценки потребности в местах постоянного хранения автомобилей (i)</t>
  </si>
  <si>
    <t>N п/п</t>
  </si>
  <si>
    <t>Таблица балльной оценки уровня потребности в местах постоянного хранения автомобилей</t>
  </si>
  <si>
    <t>Более 700м</t>
  </si>
  <si>
    <r>
      <t xml:space="preserve">Уточняющий коэффициент урбанизации территории города Москвы, согласно Приложения 3, </t>
    </r>
    <r>
      <rPr>
        <b/>
        <sz val="11"/>
        <color theme="1"/>
        <rFont val="Calibri"/>
        <family val="2"/>
        <charset val="204"/>
        <scheme val="minor"/>
      </rPr>
      <t>К3</t>
    </r>
  </si>
  <si>
    <t>Зона урбанизации согласно приложения 2 РНГПТ</t>
  </si>
  <si>
    <t>3.7. Покровское-Стрешнево.</t>
  </si>
  <si>
    <t>Район</t>
  </si>
  <si>
    <t>Исходные данные</t>
  </si>
  <si>
    <t>Расчёт стоянок выполнен на основании ПП №945-ПП г. Москвы</t>
  </si>
  <si>
    <t>15000 м /га - менее 20000 кв.м/га</t>
  </si>
  <si>
    <t>Более 700м - не более 1200м</t>
  </si>
  <si>
    <t>Кбп</t>
  </si>
  <si>
    <t>Бп</t>
  </si>
  <si>
    <r>
      <t xml:space="preserve">Проектируемый Объект попадает в зону доступности как городского пассажирского транспорта  (магистральная УДС, на которой организовано движение наземного городского транспорта - не далее 500м), так и скоростного внеуличного транспорта (метрополитен или скоростной трамвай - не далее 700м); ввиду этого, согласно Приложения 7 РНГПТ, принят коэффициент </t>
    </r>
    <r>
      <rPr>
        <b/>
        <sz val="11"/>
        <color rgb="FF2D2D2D"/>
        <rFont val="Arial"/>
        <family val="2"/>
        <charset val="204"/>
      </rPr>
      <t>К2</t>
    </r>
  </si>
  <si>
    <r>
      <t xml:space="preserve">Проектируемый Объект </t>
    </r>
    <r>
      <rPr>
        <sz val="10"/>
        <color rgb="FFC00000"/>
        <rFont val="Calibri"/>
        <family val="2"/>
        <charset val="204"/>
        <scheme val="minor"/>
      </rPr>
      <t xml:space="preserve">попадает </t>
    </r>
    <r>
      <rPr>
        <b/>
        <sz val="10"/>
        <color rgb="FFC00000"/>
        <rFont val="Calibri"/>
        <family val="2"/>
        <charset val="204"/>
        <scheme val="minor"/>
      </rPr>
      <t>только</t>
    </r>
    <r>
      <rPr>
        <sz val="10"/>
        <color rgb="FFC00000"/>
        <rFont val="Calibri"/>
        <family val="2"/>
        <charset val="204"/>
        <scheme val="minor"/>
      </rPr>
      <t xml:space="preserve"> в зону доступности</t>
    </r>
    <r>
      <rPr>
        <sz val="10"/>
        <color theme="1"/>
        <rFont val="Calibri"/>
        <family val="2"/>
        <charset val="204"/>
        <scheme val="minor"/>
      </rPr>
      <t xml:space="preserve"> наземного городского пассажирского транспорта (магистральная УДС, на которой организовано движение наземного городского транспорта - не далее 500м); а  скоростной внеуличный транспорт (метрополитен и скоростной трамвай) расположен далее 700м; ввиду этого, согласно Приложения 7 РНГПТ, принят коэффициент </t>
    </r>
    <r>
      <rPr>
        <b/>
        <sz val="10"/>
        <color theme="1"/>
        <rFont val="Calibri"/>
        <family val="2"/>
        <charset val="204"/>
        <scheme val="minor"/>
      </rPr>
      <t>К2</t>
    </r>
  </si>
  <si>
    <t>К2</t>
  </si>
  <si>
    <t>Прил. 7</t>
  </si>
  <si>
    <t>Фактическая удалённость по ситуационной схеме</t>
  </si>
  <si>
    <t>не нормируется</t>
  </si>
  <si>
    <t>Объект расположен за пределами МКАД</t>
  </si>
  <si>
    <t>700 м</t>
  </si>
  <si>
    <t>Объект расположен в пределах МКАД</t>
  </si>
  <si>
    <t>Максимально допустимый уровень территориальной пешеходной доступности для населения до станций скоростного внеуличного транспорта должен составлять</t>
  </si>
  <si>
    <t>Т4</t>
  </si>
  <si>
    <t>4.17. Якиманка.</t>
  </si>
  <si>
    <t>4.16. Южнопортовый.</t>
  </si>
  <si>
    <t>4.15. Хамовники.</t>
  </si>
  <si>
    <t>4.14. Тверской.</t>
  </si>
  <si>
    <t>4.13. Таганский.</t>
  </si>
  <si>
    <t>4.12. Сокольники.</t>
  </si>
  <si>
    <t>4.11. Пресненский.</t>
  </si>
  <si>
    <t>4.10. Мещанский.</t>
  </si>
  <si>
    <t>4.9. Лефортово.</t>
  </si>
  <si>
    <t>4.8. Красносельский.</t>
  </si>
  <si>
    <t>4.7. Замоскворечье.</t>
  </si>
  <si>
    <t>4.6. Донской.</t>
  </si>
  <si>
    <t>4.5. Даниловский.</t>
  </si>
  <si>
    <t>4.4. Гагаринский.</t>
  </si>
  <si>
    <t>4.3. Басманный.</t>
  </si>
  <si>
    <t>4.2. Беговой.</t>
  </si>
  <si>
    <t>4.1. Арбат.</t>
  </si>
  <si>
    <t>Т3</t>
  </si>
  <si>
    <t>3.9. Хорошёво-Мневники.</t>
  </si>
  <si>
    <t>3.8. Филёвский парк.</t>
  </si>
  <si>
    <t>3.6. Печатники.</t>
  </si>
  <si>
    <t>3.5. Нагатинский затон.</t>
  </si>
  <si>
    <t>3.4. Левобережный.</t>
  </si>
  <si>
    <t>3.3. Крылатское.</t>
  </si>
  <si>
    <t>3.2. Дорогомилово.</t>
  </si>
  <si>
    <t>3.1. Братеево.</t>
  </si>
  <si>
    <t>Т2</t>
  </si>
  <si>
    <t>2.68. Южное Тушино.</t>
  </si>
  <si>
    <t>2.67. Южное Медведково.</t>
  </si>
  <si>
    <t>2.66. Щукино.</t>
  </si>
  <si>
    <t>2.65. Черёмушки.</t>
  </si>
  <si>
    <t>2.64. Чертаново Центральное.</t>
  </si>
  <si>
    <t>2.63. Чертаново Северное.</t>
  </si>
  <si>
    <t>2.62. Чертаново Южное.</t>
  </si>
  <si>
    <t>2.61. Царицыно.</t>
  </si>
  <si>
    <t>2.60. Хорошёвский.</t>
  </si>
  <si>
    <t>2.59. Фили-Давыдково.</t>
  </si>
  <si>
    <t>2.58. Тропарёво-Никулино.</t>
  </si>
  <si>
    <t>2.57. Текстильщики.</t>
  </si>
  <si>
    <t>2.56. Тимирязевский.</t>
  </si>
  <si>
    <t>2.55. Строгино.</t>
  </si>
  <si>
    <t>2.54. Солнцево.</t>
  </si>
  <si>
    <t>2.53. Соколиная гора.</t>
  </si>
  <si>
    <t>2.52. Северное Тушино.</t>
  </si>
  <si>
    <t>2.51. Северное Измайлово.</t>
  </si>
  <si>
    <t>2.50. Северное Медведково.</t>
  </si>
  <si>
    <t>2.49. Свиблово.</t>
  </si>
  <si>
    <t>2.48. Сокол.</t>
  </si>
  <si>
    <t>2.47. Савёловский.</t>
  </si>
  <si>
    <t>2.46. Ростокино.</t>
  </si>
  <si>
    <t>2.45. Раменки.</t>
  </si>
  <si>
    <t>2.44. Рязанский.</t>
  </si>
  <si>
    <t>2.43. Проспект Вернадского.</t>
  </si>
  <si>
    <t>2.42. Преображенское.</t>
  </si>
  <si>
    <t>2.41. Перово.</t>
  </si>
  <si>
    <t>2.40. Очаково-Матвеевское.</t>
  </si>
  <si>
    <t>2.39. Орехово-Борисово Северное.</t>
  </si>
  <si>
    <t>2.38. Отрадное.</t>
  </si>
  <si>
    <t>2.37. Останкинский.</t>
  </si>
  <si>
    <t>2.36. Обручевский.</t>
  </si>
  <si>
    <t>2.35. Нижегородский.</t>
  </si>
  <si>
    <t>2.34. Ново-Переделкино.</t>
  </si>
  <si>
    <t>2.33. Нагорный.</t>
  </si>
  <si>
    <t>2.32. Нагатино-Садовники.</t>
  </si>
  <si>
    <t>2.31. Некрасовка.</t>
  </si>
  <si>
    <t>2.30. Новокосино.</t>
  </si>
  <si>
    <t>2.29. Новогиреево.</t>
  </si>
  <si>
    <t>2.28. Москворечье-Сабурово.</t>
  </si>
  <si>
    <t>2.27. Митино.</t>
  </si>
  <si>
    <t>2.26. Марьино.</t>
  </si>
  <si>
    <t>2.25. Марьина роща.</t>
  </si>
  <si>
    <t>2.24. Марфино.</t>
  </si>
  <si>
    <t>2.23. Ломоносовский.</t>
  </si>
  <si>
    <t>2.22. Кунцево.</t>
  </si>
  <si>
    <t>2.21. Котловка.</t>
  </si>
  <si>
    <t>2.20. Коньково.</t>
  </si>
  <si>
    <t>2.19. Кузьминки.</t>
  </si>
  <si>
    <t>2.18. Коптево.</t>
  </si>
  <si>
    <t>2.17. Измайлово.</t>
  </si>
  <si>
    <t>2.16. Зюзино.</t>
  </si>
  <si>
    <t>2.15. Зябликово.</t>
  </si>
  <si>
    <t>2.14. Головинский.</t>
  </si>
  <si>
    <t>2.13. Выхино-Жулебино.</t>
  </si>
  <si>
    <t>2.12. Восточный.</t>
  </si>
  <si>
    <t>2.11. Восточное Дегунино.</t>
  </si>
  <si>
    <t>2.10. Войковский.</t>
  </si>
  <si>
    <t>2.9. Бутырский.</t>
  </si>
  <si>
    <t>2.8. Бутово Южное.</t>
  </si>
  <si>
    <t>2.7. Бутово Северное</t>
  </si>
  <si>
    <t>2.6. Богородское.</t>
  </si>
  <si>
    <t>2.5. Бескудниковский.</t>
  </si>
  <si>
    <t>2.4. Академический.</t>
  </si>
  <si>
    <t>2.3. Алтуфьевский.</t>
  </si>
  <si>
    <t>2.2. Алексеевский.</t>
  </si>
  <si>
    <t>2.1. Аэропорт.</t>
  </si>
  <si>
    <t>Т1</t>
  </si>
  <si>
    <t>1.50. Ясенево.</t>
  </si>
  <si>
    <t>1.49. Ярославский.</t>
  </si>
  <si>
    <t>1.48. Щаповское.</t>
  </si>
  <si>
    <t>1.47. Ховрино.</t>
  </si>
  <si>
    <t>1.46. Филимонковское.</t>
  </si>
  <si>
    <t>1.45. Тёплый Стан.</t>
  </si>
  <si>
    <t>1.44. Старое Крюково.</t>
  </si>
  <si>
    <t>1.43. Сосенское.</t>
  </si>
  <si>
    <t>1.42. Силино.</t>
  </si>
  <si>
    <t>1.41. Северный.</t>
  </si>
  <si>
    <t>1.40. Савёлки.</t>
  </si>
  <si>
    <t>1.39. Роговское.</t>
  </si>
  <si>
    <t>1.38. Рязановское.</t>
  </si>
  <si>
    <t>1.37. Первомайское.</t>
  </si>
  <si>
    <t>1.36. Орехово-Борисово Южное.</t>
  </si>
  <si>
    <t>1.35. Новофёдоровское.</t>
  </si>
  <si>
    <t>1.34. Михайлово-Ярцевское.</t>
  </si>
  <si>
    <t>1.33. Мосрентген.</t>
  </si>
  <si>
    <t>1.32. Метрогородок.</t>
  </si>
  <si>
    <t>1.31. Можайский.</t>
  </si>
  <si>
    <t>1.30. Московский.</t>
  </si>
  <si>
    <t>1.29. Молжаниновский.</t>
  </si>
  <si>
    <t>1.28. Марушкинское.</t>
  </si>
  <si>
    <t>1.27. Матушкино.</t>
  </si>
  <si>
    <t>1.26. Люблино.</t>
  </si>
  <si>
    <t>1.25. Лосиноостровский.</t>
  </si>
  <si>
    <t>1.24. Лианозово.</t>
  </si>
  <si>
    <t>1.23. Краснопахорское.</t>
  </si>
  <si>
    <t>1.22. Клёновское.</t>
  </si>
  <si>
    <t>1.21. Киевский.</t>
  </si>
  <si>
    <t>1.20. Кокошкино.</t>
  </si>
  <si>
    <t>1.19. Крюково.</t>
  </si>
  <si>
    <t>1.18. Куркино.</t>
  </si>
  <si>
    <t>1.17. Капотня.</t>
  </si>
  <si>
    <t>1.16. Косино-Ухтомский.</t>
  </si>
  <si>
    <t>1.15. Ивановское.</t>
  </si>
  <si>
    <t>1.14. Западное Дегунино.</t>
  </si>
  <si>
    <t>1.13. Десёновское.</t>
  </si>
  <si>
    <t>1.12. Дмитровский.</t>
  </si>
  <si>
    <t>1.11. Гольяново.</t>
  </si>
  <si>
    <t>1.10. Вороновское.</t>
  </si>
  <si>
    <t>1.9. Воскресенское.</t>
  </si>
  <si>
    <t>1.8. Внуковское.</t>
  </si>
  <si>
    <t>1.7. Внуково.</t>
  </si>
  <si>
    <t>1.6. Восточное Измайлово.</t>
  </si>
  <si>
    <t>1.5. Вешняки.</t>
  </si>
  <si>
    <t>1.4. Бирюлёво Западное.</t>
  </si>
  <si>
    <t>1.3. Бирюлёво Восточное.</t>
  </si>
  <si>
    <t>1.2. Бибирево.</t>
  </si>
  <si>
    <t>1.1. Бабушкинский.</t>
  </si>
  <si>
    <t>Прил.1</t>
  </si>
  <si>
    <t>Зоны урбанизации территории города Москвы</t>
  </si>
  <si>
    <t>7. Уточ.коэф.урб.т.г.Москвы при расч.пост.х.</t>
  </si>
  <si>
    <t>Менее 15000 кв.м/га</t>
  </si>
  <si>
    <t>20000 м /га - не более 25000 кв.м/га</t>
  </si>
  <si>
    <t>- (не учитывается, т.к. рассматривается квартал)</t>
  </si>
  <si>
    <t>6.2 Плотность застройки в гр. з.у.</t>
  </si>
  <si>
    <t>Менее 10000 кв.м/га</t>
  </si>
  <si>
    <t>Более 20000 м /га</t>
  </si>
  <si>
    <t>15000 м /га - не более 20000 кв.м/га</t>
  </si>
  <si>
    <t>10000 м /га - менее 15000 кв.м/га</t>
  </si>
  <si>
    <t>6.1 Плотность застройки в гр. Планирования квартала</t>
  </si>
  <si>
    <t>Эконом-класс</t>
  </si>
  <si>
    <t>Специализированный</t>
  </si>
  <si>
    <t>Муниципальный</t>
  </si>
  <si>
    <t>Комфорт-класс</t>
  </si>
  <si>
    <t>5. Тип жилой застройки по ур. комф.</t>
  </si>
  <si>
    <t>Более 2500м</t>
  </si>
  <si>
    <t>4. Доступность ст. жд. тр.</t>
  </si>
  <si>
    <t>3. Доступность станций метрополитена</t>
  </si>
  <si>
    <t>Менее 5 минут</t>
  </si>
  <si>
    <t>Более 10-20 минут</t>
  </si>
  <si>
    <t>5-10 минут</t>
  </si>
  <si>
    <t>2. Интенсивность НГПТ</t>
  </si>
  <si>
    <t>От 2 до 3</t>
  </si>
  <si>
    <t>Более 3</t>
  </si>
  <si>
    <t>1. Доступность НГПТ</t>
  </si>
  <si>
    <t>Уточняющий коэффициент урбанизации территории города Москвы, К3</t>
  </si>
  <si>
    <t xml:space="preserve">Зона урбанизации </t>
  </si>
  <si>
    <t>1МПа</t>
  </si>
  <si>
    <t>10^6</t>
  </si>
  <si>
    <t>Мпа</t>
  </si>
  <si>
    <t>Н/кв.м</t>
  </si>
  <si>
    <t>кг/кв.м</t>
  </si>
  <si>
    <t>кг/кв.см</t>
  </si>
  <si>
    <t>Группа</t>
  </si>
  <si>
    <t>N</t>
  </si>
  <si>
    <t>Расчетная единица, в отношении которой</t>
  </si>
  <si>
    <t>Среднегодовой норматив накопления ТКО</t>
  </si>
  <si>
    <t>I. Административные здания, учреждения, конторы</t>
  </si>
  <si>
    <t>Научно-исследовательские, проектные институты и конструкторские бюро</t>
  </si>
  <si>
    <t>1 сотрудник</t>
  </si>
  <si>
    <t>Банки и финансовые учреждения</t>
  </si>
  <si>
    <t>Отделения связи</t>
  </si>
  <si>
    <t>Административные, офисные учреждения</t>
  </si>
  <si>
    <t>II. Предприятия торговли</t>
  </si>
  <si>
    <t>Продовольственные магазины</t>
  </si>
  <si>
    <t>1 кв.м площади</t>
  </si>
  <si>
    <t>Промтоварные магазины</t>
  </si>
  <si>
    <t>Павильоны</t>
  </si>
  <si>
    <t>Палатки, киоски</t>
  </si>
  <si>
    <t>Супермаркеты</t>
  </si>
  <si>
    <t>Рынки продовольственные</t>
  </si>
  <si>
    <t>Рынки промтоварные</t>
  </si>
  <si>
    <t>III. Предприятия транспортной инфраструктуры</t>
  </si>
  <si>
    <t>Автомастерские, шиномонтажные мастерские, станции технического обслуживания</t>
  </si>
  <si>
    <t>1 машино-место</t>
  </si>
  <si>
    <t>Автозаправочные станции</t>
  </si>
  <si>
    <t>1 пост</t>
  </si>
  <si>
    <t>Автостоянки и парковки</t>
  </si>
  <si>
    <t>Гаражи, парковки закрытого типа</t>
  </si>
  <si>
    <t>Автомойки</t>
  </si>
  <si>
    <t>Железнодорожные и автовокзалы, аэропорты, речные порты</t>
  </si>
  <si>
    <t>1 пассажир</t>
  </si>
  <si>
    <t>IV. Дошкольные и учебные учреждения</t>
  </si>
  <si>
    <t>Дошкольные образовательные учреждения</t>
  </si>
  <si>
    <t>1 место</t>
  </si>
  <si>
    <t>Общеобразовательные, среднеспециальные учреждения и ПТУ</t>
  </si>
  <si>
    <t>Высшие учебные заведения</t>
  </si>
  <si>
    <t>Образовательные учреждения дополнительного образования</t>
  </si>
  <si>
    <t>Детские дома, школы-интернаты</t>
  </si>
  <si>
    <t>V. Культурно-</t>
  </si>
  <si>
    <t>развлекательные, спортивные учреждения</t>
  </si>
  <si>
    <t>Клубы, кинотеатры, концертные залы, театры, цирки</t>
  </si>
  <si>
    <t>Библиотеки, архивы</t>
  </si>
  <si>
    <t>Выставочные залы, музеи</t>
  </si>
  <si>
    <t>Спортивные арены, стадионы</t>
  </si>
  <si>
    <t>Спортивные клубы, центры, комплексы</t>
  </si>
  <si>
    <t>Зоопарки, ботанические сады</t>
  </si>
  <si>
    <t>Пансионаты, дома отдыха, туристические базы</t>
  </si>
  <si>
    <t>VI. Предприятия общественного питания</t>
  </si>
  <si>
    <t>Кафе, рестораны, бары, закусочные, столовые</t>
  </si>
  <si>
    <t>VII. Предприятия службы быта</t>
  </si>
  <si>
    <t>Мастерские по ремонту бытовой и компьютерной техники</t>
  </si>
  <si>
    <t>Мастерские по ремонту обуви, ключей, часов и пр.</t>
  </si>
  <si>
    <t>Мастерские по ремонту и пошиву одежды</t>
  </si>
  <si>
    <t>Химчистки и прачечные</t>
  </si>
  <si>
    <t>Парикмахерские, косметические салоны, салоны красоты</t>
  </si>
  <si>
    <t>Гостиницы</t>
  </si>
  <si>
    <t>Общежития</t>
  </si>
  <si>
    <t>Бани, сауны</t>
  </si>
  <si>
    <t>VIII. Предприятия в сфере похоронных услуг</t>
  </si>
  <si>
    <t>Кладбища</t>
  </si>
  <si>
    <t>Крематории</t>
  </si>
  <si>
    <t>Организации, оказывающие ритуальные услуги</t>
  </si>
  <si>
    <t>IX. Садоводческие кооперативы, садово-огородные товарищества. Предприятия иных отраслей промышленности.</t>
  </si>
  <si>
    <t>Садоводческие кооперативы, садово-огородные товарищества</t>
  </si>
  <si>
    <t>1 участник (член)</t>
  </si>
  <si>
    <t>Предприятия иных отраслей промышленности</t>
  </si>
  <si>
    <t>X. Домовладения</t>
  </si>
  <si>
    <t>Жилые помещения в многоквартирных домах, помещения в иных жилых домах</t>
  </si>
  <si>
    <t>куб.м</t>
  </si>
  <si>
    <t>Показатель объекта</t>
  </si>
  <si>
    <t>Фактичекое значение</t>
  </si>
  <si>
    <t>Ежедневный объем накопления, куб.м</t>
  </si>
  <si>
    <t>Годовой объем накопления, куб.м</t>
  </si>
  <si>
    <t>НПКИ</t>
  </si>
  <si>
    <t>кв.м/чел.</t>
  </si>
  <si>
    <t>чел.</t>
  </si>
  <si>
    <t>шт.</t>
  </si>
  <si>
    <t>Стоянки постоянного храрения</t>
  </si>
  <si>
    <t>Плоскостные стоянки</t>
  </si>
  <si>
    <t>Жители</t>
  </si>
  <si>
    <t>Удел.показатель для НПКИ</t>
  </si>
  <si>
    <t>Общая площадь квартир</t>
  </si>
  <si>
    <t>Сотрудники НПКИ</t>
  </si>
  <si>
    <t>Показтель</t>
  </si>
  <si>
    <t>Суммарный объем контейнеров</t>
  </si>
  <si>
    <t>Предварительная вместимость контейнера</t>
  </si>
  <si>
    <t xml:space="preserve">Элемнта придомовой территории </t>
  </si>
  <si>
    <t>Нормативный показатель</t>
  </si>
  <si>
    <t>Кол-во жителей</t>
  </si>
  <si>
    <t>Расчетная площадь, кв.м.</t>
  </si>
  <si>
    <t>Детские площадки</t>
  </si>
  <si>
    <t>Площадки отдыха взрослого населения</t>
  </si>
  <si>
    <t>Зеленые насаждения</t>
  </si>
  <si>
    <t>Площадь участка по ГПЗУ</t>
  </si>
  <si>
    <t>СП 476.1325800.2020</t>
  </si>
  <si>
    <t>Показатели минимальной обеспеченности элементами придомовой территории (по табл.7.1)</t>
  </si>
  <si>
    <t xml:space="preserve">При недостатке площади для размещения в полном объеме обязательных элементов благоустройства на приватной придомовой территории допускается их размещение на территории общего пользования с учетом пешеходной доступности от входных групп зданий до данных объектов не более 100 м. </t>
  </si>
  <si>
    <t>7.30 При размещении на участке жилой группы жилых зданий со встроенно-пристроенными и пристроенными помещениями допускается размещение элементов благоустройства и озеленения на их эксплуатируемой кровле.</t>
  </si>
  <si>
    <t>Показатели площади элементов благоустройства жилого микрорайона</t>
  </si>
  <si>
    <t>1 Детские игровые площадки (площадки для игр детей дошкольного и младшего школьного возраста)</t>
  </si>
  <si>
    <t>3 Площадки отдыха взрослого населения</t>
  </si>
  <si>
    <t>4 Площадки для хозяйственных целей (контейнерные площадки для сбора ТКО и крупногабаритного мусора) &lt;*&gt;</t>
  </si>
  <si>
    <t>5 Площадки для выгула собак</t>
  </si>
  <si>
    <t>400-600</t>
  </si>
  <si>
    <t>2 Площадки для занятий физкультурой взрослого населения (при отсутствии отдельных участков для спорт.площадок требуется выполнить в пределах земельного участка)</t>
  </si>
  <si>
    <t>7.4 Площадь озелененной территории микрорайона (квартала) жилой зоны с застройкой многоквартирными жилыми зданиями (без учета участков общеобразовательных и дошкольных образовательных организаций)</t>
  </si>
  <si>
    <t>Примечание - В площадь отдельных участков озелененной территории включаются площадки для отдыха взрослого населения, детские игровые площадки (в том числе групповые площадки встроенных и встроенно-пристроенных дошкольных организаций, если они расположены на внутридомовой территории), пешеходные дорожки, если они занимают не более 30% общей площади участка.
(примечание в ред. Изменения N 2, утв. Приказом Минстроя России от 19.12.2019 N 824/пр)</t>
  </si>
  <si>
    <t>Число контейнеров заданной вместимости</t>
  </si>
  <si>
    <t>СП 42.13330.2016 / СП42.13330.2011</t>
  </si>
  <si>
    <t>Многоквартирный дом (2.1.1, 2.5, 2.6)</t>
  </si>
  <si>
    <t>Доля суммарной поэтажной площади жилой части здания в расчете на одного человека</t>
  </si>
  <si>
    <t>S1</t>
  </si>
  <si>
    <t xml:space="preserve">Показатель суммарной поэтажной площади объекта на одно место остановки в соответствии с таблицей к Приложению 8 </t>
  </si>
  <si>
    <t>Встроенно-пристроенные помещения коммерческого использования на первых этажах</t>
  </si>
  <si>
    <t>Функциональное назначение объекта</t>
  </si>
  <si>
    <t>Жилое назначение</t>
  </si>
  <si>
    <t>Расчет числа мест остановки (размер одного места не менее 6,0 х 3,6 метра или 2,5 х 6,5 метра, в случае расположения вдоль проезжей части)</t>
  </si>
  <si>
    <t>X2</t>
  </si>
  <si>
    <t>Расчетный показатель в расчетных единицах на одно парковочное место и машино-место в соответствии с примечанием 1 к Приложению 6, кв.м</t>
  </si>
  <si>
    <t>Квартиры для МГН по заданию на проектирование не предусматриваются. Стоянки МГН постоянного хранения не требуются.</t>
  </si>
  <si>
    <t>А</t>
  </si>
  <si>
    <t>Целевой показатель уровня автомобилизации города Москвы — 257 транспортных средств на 1 000 жителей по Приложению 5</t>
  </si>
  <si>
    <t>Расчета числа мест постоянного размещения транспортных средств жителей</t>
  </si>
  <si>
    <t>Уточняющий коэффициент деловой активности территории города Москвы для расчета числа мест приобъектной парковки по табл. Приложения 6</t>
  </si>
  <si>
    <t>К1</t>
  </si>
  <si>
    <t>Коэффициент пешей доступности рельсового каркаса по табл. Приложения 5</t>
  </si>
  <si>
    <t>менее 1 200 м (15 мин. пешком)</t>
  </si>
  <si>
    <t>Доступность рельсового каркаса</t>
  </si>
  <si>
    <t>За пределами ТТК</t>
  </si>
  <si>
    <t>Люблино</t>
  </si>
  <si>
    <t>Район города Москвы</t>
  </si>
  <si>
    <t>X</t>
  </si>
  <si>
    <t>Sнпки</t>
  </si>
  <si>
    <t>Общая площадь помещений общественного назначения (НПКИ), кв.м</t>
  </si>
  <si>
    <t>S</t>
  </si>
  <si>
    <t>Sоб.кв.</t>
  </si>
  <si>
    <t>Обозначение</t>
  </si>
  <si>
    <t>Наименование показателя</t>
  </si>
  <si>
    <t>обучающиеся</t>
  </si>
  <si>
    <t>Дошкольные образовательные организации</t>
  </si>
  <si>
    <t>Общеобразовательные организации</t>
  </si>
  <si>
    <t>Социальное обслуживание</t>
  </si>
  <si>
    <t>Здравоохранение</t>
  </si>
  <si>
    <t>п/п</t>
  </si>
  <si>
    <t>Предусматривается одно место остановки на  следующее количество расчетных единиц</t>
  </si>
  <si>
    <t>Расчетная единица</t>
  </si>
  <si>
    <t>№</t>
  </si>
  <si>
    <t>более 2 200 м (более 30 мин. пешком)</t>
  </si>
  <si>
    <t>1 200–2 200 м (до 30 мин. пешком)</t>
  </si>
  <si>
    <t>Значения коэффициента К1</t>
  </si>
  <si>
    <t>Коэффициент пешей доступности рельсового каркаса</t>
  </si>
  <si>
    <t>Ярославский</t>
  </si>
  <si>
    <t>Якиманка</t>
  </si>
  <si>
    <t>Южнопортовый</t>
  </si>
  <si>
    <t>Южное Тушино</t>
  </si>
  <si>
    <t>Южное Медведково</t>
  </si>
  <si>
    <t>Щукино</t>
  </si>
  <si>
    <t>Щербинка</t>
  </si>
  <si>
    <t>Чертаново Южное</t>
  </si>
  <si>
    <t>Чертаново Центральное</t>
  </si>
  <si>
    <t>Чертаново Северное</t>
  </si>
  <si>
    <t>Черемушки</t>
  </si>
  <si>
    <t>Царицыно</t>
  </si>
  <si>
    <t>Хорошёвский</t>
  </si>
  <si>
    <t>Хорошёво-Мневники</t>
  </si>
  <si>
    <t>Ховрино</t>
  </si>
  <si>
    <t>Хамовники</t>
  </si>
  <si>
    <t>Филимонковский</t>
  </si>
  <si>
    <t>Фили-Давыдково</t>
  </si>
  <si>
    <t>Филёвский Парк</t>
  </si>
  <si>
    <t>Тропарёво-Никулино</t>
  </si>
  <si>
    <t>Троицк</t>
  </si>
  <si>
    <t>Тимирязевский</t>
  </si>
  <si>
    <t>Тёплый Стан</t>
  </si>
  <si>
    <t>Текстильщики</t>
  </si>
  <si>
    <t>Тверской</t>
  </si>
  <si>
    <t>Таганский</t>
  </si>
  <si>
    <t>Строгино</t>
  </si>
  <si>
    <t>Старое Крюково</t>
  </si>
  <si>
    <t>Солнцево</t>
  </si>
  <si>
    <t>Сокольники</t>
  </si>
  <si>
    <t>Соколиная Гора</t>
  </si>
  <si>
    <t>Сокол</t>
  </si>
  <si>
    <t>Силино</t>
  </si>
  <si>
    <t>Северный</t>
  </si>
  <si>
    <t>Северное Тушино</t>
  </si>
  <si>
    <t>Северное Медведково</t>
  </si>
  <si>
    <t>Северное Измайлово</t>
  </si>
  <si>
    <t>Свиблово</t>
  </si>
  <si>
    <t>Савёловский</t>
  </si>
  <si>
    <t>Савёлки</t>
  </si>
  <si>
    <t>Рязанский</t>
  </si>
  <si>
    <t>Ростокино</t>
  </si>
  <si>
    <t>Раменки</t>
  </si>
  <si>
    <t>Проспект Вернадского</t>
  </si>
  <si>
    <t>Пресненский</t>
  </si>
  <si>
    <t>Преображенское</t>
  </si>
  <si>
    <t>Покровское-Стрешнево</t>
  </si>
  <si>
    <t>Печатники</t>
  </si>
  <si>
    <t>Перово</t>
  </si>
  <si>
    <t>Очаково-Матвеевское</t>
  </si>
  <si>
    <t>Отрадное</t>
  </si>
  <si>
    <t>Останкинский</t>
  </si>
  <si>
    <t>Орехово-Борисово Северное</t>
  </si>
  <si>
    <t>Обручевский</t>
  </si>
  <si>
    <t>Ново-Переделкино</t>
  </si>
  <si>
    <t>Новокосино</t>
  </si>
  <si>
    <t>Новогиреево</t>
  </si>
  <si>
    <t>Нижегородский</t>
  </si>
  <si>
    <t>Некрасовка</t>
  </si>
  <si>
    <t>Нагорный</t>
  </si>
  <si>
    <t>Нагатинский Затон</t>
  </si>
  <si>
    <t>Нагатино-Садовники</t>
  </si>
  <si>
    <t>Москворечье-Сабурово</t>
  </si>
  <si>
    <t>Молжаниновский</t>
  </si>
  <si>
    <t>Можайский</t>
  </si>
  <si>
    <t>Митино</t>
  </si>
  <si>
    <t>Мещанский</t>
  </si>
  <si>
    <t>Метрогородок</t>
  </si>
  <si>
    <t>Матушкино</t>
  </si>
  <si>
    <t>Марьино</t>
  </si>
  <si>
    <t>Марьина Роща</t>
  </si>
  <si>
    <t>Марфино</t>
  </si>
  <si>
    <t>Лосиноостровский</t>
  </si>
  <si>
    <t>Ломоносовский</t>
  </si>
  <si>
    <t>Лианозово</t>
  </si>
  <si>
    <t>Лефортово</t>
  </si>
  <si>
    <t>Левобережный</t>
  </si>
  <si>
    <t>Куркино</t>
  </si>
  <si>
    <t>Кунцево на территории Рублево-Успенского эксклава</t>
  </si>
  <si>
    <t>Кунцево за исключением территории Рублево-Успенского эксклава</t>
  </si>
  <si>
    <t>Кузьминки</t>
  </si>
  <si>
    <t>Крюково</t>
  </si>
  <si>
    <t>Крылатское</t>
  </si>
  <si>
    <t>Красносельский</t>
  </si>
  <si>
    <t>Краснопахорский</t>
  </si>
  <si>
    <t>Котловка</t>
  </si>
  <si>
    <t>Косино-Ухтомский</t>
  </si>
  <si>
    <t>Коптево</t>
  </si>
  <si>
    <t>Коньково</t>
  </si>
  <si>
    <t>Коммунарка</t>
  </si>
  <si>
    <t>Капотня</t>
  </si>
  <si>
    <t>Измайлово</t>
  </si>
  <si>
    <t>Ивановское</t>
  </si>
  <si>
    <t>Зябликово</t>
  </si>
  <si>
    <t>Зюзино</t>
  </si>
  <si>
    <t>Западное Дегунино</t>
  </si>
  <si>
    <t>Замоскворечье</t>
  </si>
  <si>
    <t>Дорогомилово</t>
  </si>
  <si>
    <t>Донской</t>
  </si>
  <si>
    <t>Дмитровский</t>
  </si>
  <si>
    <t>Даниловский</t>
  </si>
  <si>
    <t>Гольяново</t>
  </si>
  <si>
    <t>Головинский</t>
  </si>
  <si>
    <t>Гагаринский</t>
  </si>
  <si>
    <t>Выхино-Жулебино</t>
  </si>
  <si>
    <t>Восточный</t>
  </si>
  <si>
    <t>Восточное Измайлово</t>
  </si>
  <si>
    <t>Восточное Дегунино</t>
  </si>
  <si>
    <t>Вороново</t>
  </si>
  <si>
    <t>Войковский</t>
  </si>
  <si>
    <t>Внуково</t>
  </si>
  <si>
    <t>Вешняки</t>
  </si>
  <si>
    <t>Бутырский</t>
  </si>
  <si>
    <t>Бутово Южное</t>
  </si>
  <si>
    <t>Бутово Северное</t>
  </si>
  <si>
    <t>Братеево</t>
  </si>
  <si>
    <t>Богородское</t>
  </si>
  <si>
    <t>Бирюлёво Западное</t>
  </si>
  <si>
    <t>Бирюлёво Восточное</t>
  </si>
  <si>
    <t>Бибирево</t>
  </si>
  <si>
    <t>Бескудниковский</t>
  </si>
  <si>
    <t>Бекасово</t>
  </si>
  <si>
    <t>Беговой</t>
  </si>
  <si>
    <t>Басманный</t>
  </si>
  <si>
    <t>Бабушкинский</t>
  </si>
  <si>
    <t>Аэропорт</t>
  </si>
  <si>
    <t>Арбат</t>
  </si>
  <si>
    <t>Алтуфьевский</t>
  </si>
  <si>
    <t>Алексеевский</t>
  </si>
  <si>
    <t>Академический</t>
  </si>
  <si>
    <t>Внутри ТТК</t>
  </si>
  <si>
    <t>№п/п</t>
  </si>
  <si>
    <t>Уточняющий коэффициент деловой активности территории города Москвы для расчета числа мест приобъектной парковки К2</t>
  </si>
  <si>
    <t>Расчёты благоустройства</t>
  </si>
  <si>
    <t>Расчет числа мест гостевой парковки (допустимо отклонение 10%)</t>
  </si>
  <si>
    <t>Место площадки относительно ТТК г.Москва</t>
  </si>
  <si>
    <t>N (допустимое отклонение)</t>
  </si>
  <si>
    <t>S_стоянки</t>
  </si>
  <si>
    <t>S_стоянки_2ур.</t>
  </si>
  <si>
    <t>Наименование категории объектов по  Расопряжению ЖКХ г.Москвы от 29 сентября 2021 года N 01-01-14-194/21</t>
  </si>
  <si>
    <t>Суммарная поэтажная жилой части, кв.м (СПП жилой части)</t>
  </si>
  <si>
    <t>Суммарная поэтажная площадь помещений общественного назначения, кв.м (СПП НПКИ)</t>
  </si>
  <si>
    <t>ЛЛМЗк.19</t>
  </si>
  <si>
    <r>
      <t xml:space="preserve">Расчет числа мест приобъектной парковки встроенно-пристроенных коммерческих  помещений  (допустимо отклонение +-30%); согласно прим. 4. к таблице Приложения 1 - при размерах суммарной поэтажной площади </t>
    </r>
    <r>
      <rPr>
        <b/>
        <u/>
        <sz val="11"/>
        <color theme="1"/>
        <rFont val="Calibri"/>
        <family val="2"/>
        <charset val="204"/>
        <scheme val="minor"/>
      </rPr>
      <t>торговых</t>
    </r>
    <r>
      <rPr>
        <b/>
        <sz val="11"/>
        <color theme="1"/>
        <rFont val="Calibri"/>
        <family val="2"/>
        <charset val="204"/>
        <scheme val="minor"/>
      </rPr>
      <t xml:space="preserve"> объектов менее 500 кв.м парковочные места и (или) машино-места допускается не предусматривать</t>
    </r>
  </si>
  <si>
    <t>Строгино_Среда_к1</t>
  </si>
  <si>
    <t>Строгино_Среда_к2</t>
  </si>
  <si>
    <t>Строгино_Среда_к3</t>
  </si>
  <si>
    <t>Строгино_Среда_к4</t>
  </si>
  <si>
    <t>Строгино_Среда_к2.2</t>
  </si>
  <si>
    <t>Строгино_Среда_к2.1</t>
  </si>
  <si>
    <t>Строгино_Среда_к4.1</t>
  </si>
  <si>
    <t>Строгино_Среда_к4.2</t>
  </si>
  <si>
    <t>г.</t>
  </si>
  <si>
    <t>2027 и далее</t>
  </si>
  <si>
    <t>Год</t>
  </si>
  <si>
    <t>% электромобилей</t>
  </si>
  <si>
    <t>%</t>
  </si>
  <si>
    <t>На территории земельного участка - гостевые МГН</t>
  </si>
  <si>
    <t>На территории земельного участка - приобъектные МГН</t>
  </si>
  <si>
    <t>На территории УДС с прилегающей к участку стороне - гостевые МГН</t>
  </si>
  <si>
    <t>На территории земельного участка - места остановки</t>
  </si>
  <si>
    <t>На территории УДС с прилегающей к участку стороне - приобъектные МГН</t>
  </si>
  <si>
    <t>На территории УДС с прилегающей к участку стороне - места остановок</t>
  </si>
  <si>
    <t>На территории УДС с прилегающей к участку стороне - гостевые (без учёта МГН)</t>
  </si>
  <si>
    <t>На территории УДС с прилегающей к участку стороне - приобъектные  (без учёта МГН)</t>
  </si>
  <si>
    <t>Итого, по расчёту</t>
  </si>
  <si>
    <t>"4. Всего требуется разместить стоянок и остановок с учётом отклонений в большую сторону без прохождения ГЗК (из которых "&amp;D48&amp;"% - машиноместа с зарядными станциями для электромобилей, включая инфраструктуру для установки зарядного устройства)"</t>
  </si>
  <si>
    <t>6. То же, в два уровня</t>
  </si>
  <si>
    <t>7. Фактическое расположение на участке и УДС м/м, в т.ч.:</t>
  </si>
  <si>
    <t>F</t>
  </si>
  <si>
    <t>Fз(о)</t>
  </si>
  <si>
    <t>Fз(г,мгн)</t>
  </si>
  <si>
    <t>Fз(в,мгн)</t>
  </si>
  <si>
    <t>Fу(о)</t>
  </si>
  <si>
    <t>Fу(г,мгн)</t>
  </si>
  <si>
    <t>Fу(в,мгн)</t>
  </si>
  <si>
    <t>Fу(в)</t>
  </si>
  <si>
    <t>Fу(г)</t>
  </si>
  <si>
    <t>Итого запроектировано</t>
  </si>
  <si>
    <t>8. Требуется разместить в подземной автостоянке:                                                                       N=Nп+Nг+Nв-Nо-F</t>
  </si>
  <si>
    <t>9. Допустимо разместить в подземной автостоянки с учётом допустимого отклонения в меньшую сторону: N=(Nп-10%)+(Nг-10%)+(Nв-30%)+(Nо)-F</t>
  </si>
  <si>
    <t>10. Допустимо разместить в подземной автостоянке с учётом допустимого отклонения в большую сторону: N=(Nп+10%)+(Nг+10%)+(Nв+30%)+(Nо)-F</t>
  </si>
  <si>
    <t>Площадки для занятий физкультурой взрослого населения (при отсутствии отдельных участков для спорт.площадок требуется выполнить в пределах земельного участка)</t>
  </si>
  <si>
    <t>1. В пределах участка запроектировано</t>
  </si>
  <si>
    <t>П1. постоянные (без учёта электромобилей) - не далее 1200м</t>
  </si>
  <si>
    <t>П2. постоянные (электромобили) - не далее 1200м</t>
  </si>
  <si>
    <t>Г2. гостевые (электромобили) - в подземной - не далее 200м</t>
  </si>
  <si>
    <t>Г1. гостевые (без учёта МГН и электромобилей) - в подземной - не далее 200м</t>
  </si>
  <si>
    <t>Г3. гостевые (МГН) - в подземной - не далее 100м по СП59</t>
  </si>
  <si>
    <t>В1. приобъектные (без учёта МГН и электромобилей) - в подземной - не далее 200м</t>
  </si>
  <si>
    <t>В2. приобъектные (электромобили) - в подземной - не далее 200м</t>
  </si>
  <si>
    <t>В3. приобъектные (МГН)- в подземной - не далее 50м по СП59</t>
  </si>
  <si>
    <t>МО. места остановок - в подземной - не далее 150м</t>
  </si>
  <si>
    <t>Нежилая наземная площадь (ННП)</t>
  </si>
  <si>
    <t>Строгино_Среда_к3.1-3.4</t>
  </si>
  <si>
    <t>Строгино_Среда_к3.4-3.7</t>
  </si>
  <si>
    <t>Площадь квартир, кв.м</t>
  </si>
  <si>
    <t>Тип жилого дома</t>
  </si>
  <si>
    <t>Доля площади квартир в расчете на одного человека</t>
  </si>
  <si>
    <t>33 кв.м на человека</t>
  </si>
  <si>
    <t>Индивидуальный жилой дом (2.1)</t>
  </si>
  <si>
    <t>50 кв.м на человека</t>
  </si>
  <si>
    <t>Жилой дом блокированной застройки (2.3)</t>
  </si>
  <si>
    <t>Год РНС</t>
  </si>
  <si>
    <t>Тип объекта</t>
  </si>
  <si>
    <t>Показатели расчета населения по типам жилой застройки</t>
  </si>
  <si>
    <t>Орехово-Борисово Южное</t>
  </si>
  <si>
    <t>Ясенево</t>
  </si>
  <si>
    <t>Снаружи ТТК</t>
  </si>
  <si>
    <t>-</t>
  </si>
  <si>
    <t>Определение числа мест остановки в зависимости от функционального назначения объекта</t>
  </si>
  <si>
    <t>Предусматривается одно место остановки на следующее количество расчетных единиц</t>
  </si>
  <si>
    <t> Не менее одного места на объект.</t>
  </si>
  <si>
    <t> Не менее одного места на объект и не более четырех.</t>
  </si>
  <si>
    <t> Места остановки могут использоваться как места для загрузки, предусматриваемые в соответствии с СП 54.13330.2022 "СНиП 31-01-2003 Здания жилые многоквартирные".</t>
  </si>
  <si>
    <t>1. % электромобилей (по году РНС)</t>
  </si>
  <si>
    <t>Расчёт стоянок по №945-ПП от 23.12.2015 с изменениями на 17 ноября 2025 года</t>
  </si>
  <si>
    <t>Типа объекта</t>
  </si>
  <si>
    <t>Удел.показатель для жилой части (для расчёта по СП476)</t>
  </si>
  <si>
    <t>Озеленение территории общего пользования</t>
  </si>
  <si>
    <t>2. Недостаток элемента придомовой территории</t>
  </si>
  <si>
    <t>Примечание</t>
  </si>
  <si>
    <t>2152-ПП (с изменениями на 28 октября 2025 года)</t>
  </si>
  <si>
    <t>Озеленённые территории ЖК (Озелененные территории ограниченного пользования жилых кварталов) - озеленение внутриквартальных публичных территорий и дворовых территорий, включая площадки для игр детей и отдыха взрослых</t>
  </si>
  <si>
    <r>
      <t xml:space="preserve">В случае, если доля площадей общественного назначения в жилом здании составляет не менее 10% наземной площади (суммы жилой наземной площади и нежилой части жилого здания, которая определяется в соответствии с пунктом 1.2.1.7 настоящих Нормативов) жилого здания, допускается предусматривать не менее 3,0 кв.м/человека в уровне земли и не более 2,0 кв.м/человека в объеме жилого здания и на эксплуатируемой кровле не выше 15 м.
</t>
    </r>
    <r>
      <rPr>
        <b/>
        <sz val="9"/>
        <color rgb="FF000000"/>
        <rFont val="Calibri"/>
        <family val="2"/>
        <charset val="204"/>
        <scheme val="minor"/>
      </rPr>
      <t>Допускается снижение значения показателя на 15%</t>
    </r>
    <r>
      <rPr>
        <sz val="9"/>
        <color indexed="64"/>
        <rFont val="Calibri"/>
        <family val="2"/>
        <charset val="204"/>
        <scheme val="minor"/>
      </rPr>
      <t xml:space="preserve"> при прилегании территории преобразования к </t>
    </r>
    <r>
      <rPr>
        <b/>
        <sz val="9"/>
        <color rgb="FF000000"/>
        <rFont val="Calibri"/>
        <family val="2"/>
        <charset val="204"/>
        <scheme val="minor"/>
      </rPr>
      <t>ОТОП</t>
    </r>
    <r>
      <rPr>
        <sz val="9"/>
        <color indexed="64"/>
        <rFont val="Calibri"/>
        <family val="2"/>
        <charset val="204"/>
        <scheme val="minor"/>
      </rPr>
      <t xml:space="preserve"> размером не менее </t>
    </r>
    <r>
      <rPr>
        <b/>
        <sz val="9"/>
        <color rgb="FF000000"/>
        <rFont val="Calibri"/>
        <family val="2"/>
        <charset val="204"/>
        <scheme val="minor"/>
      </rPr>
      <t>5,0 га</t>
    </r>
    <r>
      <rPr>
        <sz val="9"/>
        <color indexed="64"/>
        <rFont val="Calibri"/>
        <family val="2"/>
        <charset val="204"/>
        <scheme val="minor"/>
      </rPr>
      <t>, особо охраняемой природной территории (</t>
    </r>
    <r>
      <rPr>
        <b/>
        <sz val="9"/>
        <color rgb="FF000000"/>
        <rFont val="Calibri"/>
        <family val="2"/>
        <charset val="204"/>
        <scheme val="minor"/>
      </rPr>
      <t>ООПТ</t>
    </r>
    <r>
      <rPr>
        <sz val="9"/>
        <color indexed="64"/>
        <rFont val="Calibri"/>
        <family val="2"/>
        <charset val="204"/>
        <scheme val="minor"/>
      </rPr>
      <t>), особо охраняемой зеленой территории (</t>
    </r>
    <r>
      <rPr>
        <b/>
        <sz val="9"/>
        <color rgb="FF000000"/>
        <rFont val="Calibri"/>
        <family val="2"/>
        <charset val="204"/>
        <scheme val="minor"/>
      </rPr>
      <t>ООЗТ</t>
    </r>
    <r>
      <rPr>
        <sz val="9"/>
        <color indexed="64"/>
        <rFont val="Calibri"/>
        <family val="2"/>
        <charset val="204"/>
        <scheme val="minor"/>
      </rPr>
      <t>).                                                        Озелененных территорий ограниченного пользования жилых кварталов, площадок для игр детей и отдыха взрослых, при этом площадки для игр детей и отдыха взрослых должны составлять не более 30% озелененной территории ЖК.</t>
    </r>
  </si>
  <si>
    <t>не далее 100м (п.7.29)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</si>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</sst>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7.5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sz val="11"/>
      <color rgb="FF2D2D2D"/>
      <name val="Arial"/>
      <family val="2"/>
      <charset val="204"/>
    </font>
    <font>
      <b/>
      <sz val="11"/>
      <color rgb="FF2D2D2D"/>
      <name val="Arial"/>
      <family val="2"/>
      <charset val="204"/>
    </font>
    <font>
      <sz val="10"/>
      <color rgb="FFC00000"/>
      <name val="Calibri"/>
      <family val="2"/>
      <charset val="204"/>
      <scheme val="minor"/>
    </font>
    <font>
      <b/>
      <sz val="10"/>
      <color rgb="FFC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3C3C3C"/>
      <name val="Arial"/>
      <family val="2"/>
      <charset val="204"/>
    </font>
    <font>
      <sz val="10"/>
      <color indexed="64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indexed="6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444444"/>
      <name val="Calibri"/>
      <family val="2"/>
      <charset val="204"/>
      <scheme val="minor"/>
    </font>
    <font>
      <b/>
      <sz val="11"/>
      <color rgb="FF444444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indexed="6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1"/>
      <color indexed="64"/>
      <name val="Calibri"/>
      <family val="2"/>
      <charset val="204"/>
      <scheme val="minor"/>
    </font>
    <font>
      <sz val="12"/>
      <color rgb="FF444444"/>
      <name val="Arial"/>
      <family val="2"/>
      <charset val="204"/>
    </font>
    <font>
      <b/>
      <sz val="12"/>
      <color rgb="FF444444"/>
      <name val="Arial"/>
      <family val="2"/>
      <charset val="204"/>
    </font>
    <font>
      <sz val="11"/>
      <color rgb="FF444444"/>
      <name val="ъ"/>
      <charset val="204"/>
    </font>
    <font>
      <sz val="11"/>
      <color theme="1"/>
      <name val="ъ"/>
      <charset val="204"/>
    </font>
    <font>
      <sz val="12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indexed="64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5" fillId="0" borderId="0"/>
    <xf numFmtId="0" fontId="37" fillId="0" borderId="0" applyNumberFormat="0" applyFill="0" applyBorder="0" applyAlignment="0" applyProtection="0"/>
  </cellStyleXfs>
  <cellXfs count="306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3" fillId="0" borderId="0" xfId="0" applyFont="1"/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4" xfId="0" applyFill="1" applyBorder="1"/>
    <xf numFmtId="0" fontId="0" fillId="6" borderId="4" xfId="0" applyFill="1" applyBorder="1" applyAlignment="1">
      <alignment horizontal="center" vertical="center" wrapText="1"/>
    </xf>
    <xf numFmtId="9" fontId="0" fillId="3" borderId="4" xfId="0" applyNumberFormat="1" applyFill="1" applyBorder="1"/>
    <xf numFmtId="0" fontId="7" fillId="3" borderId="4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" fontId="6" fillId="0" borderId="4" xfId="0" quotePrefix="1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0" fillId="3" borderId="0" xfId="0" applyFill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19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9" xfId="0" applyBorder="1"/>
    <xf numFmtId="0" fontId="9" fillId="0" borderId="24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0" fillId="0" borderId="20" xfId="0" applyBorder="1"/>
    <xf numFmtId="0" fontId="0" fillId="0" borderId="18" xfId="0" applyBorder="1"/>
    <xf numFmtId="0" fontId="9" fillId="0" borderId="21" xfId="0" applyFont="1" applyBorder="1" applyAlignment="1">
      <alignment vertical="center" wrapText="1"/>
    </xf>
    <xf numFmtId="0" fontId="14" fillId="0" borderId="21" xfId="0" applyFont="1" applyBorder="1" applyAlignment="1">
      <alignment wrapText="1"/>
    </xf>
    <xf numFmtId="0" fontId="0" fillId="0" borderId="24" xfId="0" applyBorder="1"/>
    <xf numFmtId="0" fontId="0" fillId="0" borderId="17" xfId="0" applyBorder="1"/>
    <xf numFmtId="0" fontId="0" fillId="0" borderId="21" xfId="0" applyBorder="1"/>
    <xf numFmtId="0" fontId="0" fillId="0" borderId="17" xfId="0" quotePrefix="1" applyBorder="1"/>
    <xf numFmtId="0" fontId="0" fillId="0" borderId="18" xfId="0" applyBorder="1" applyAlignment="1">
      <alignment wrapText="1"/>
    </xf>
    <xf numFmtId="0" fontId="0" fillId="0" borderId="21" xfId="0" applyBorder="1" applyAlignment="1">
      <alignment wrapText="1"/>
    </xf>
    <xf numFmtId="0" fontId="16" fillId="8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16" fillId="9" borderId="4" xfId="0" applyFont="1" applyFill="1" applyBorder="1" applyAlignment="1">
      <alignment wrapText="1"/>
    </xf>
    <xf numFmtId="0" fontId="17" fillId="0" borderId="0" xfId="1" applyFont="1"/>
    <xf numFmtId="0" fontId="17" fillId="0" borderId="4" xfId="1" applyFont="1" applyBorder="1"/>
    <xf numFmtId="0" fontId="17" fillId="0" borderId="4" xfId="1" applyFont="1" applyBorder="1" applyAlignment="1">
      <alignment wrapText="1"/>
    </xf>
    <xf numFmtId="0" fontId="0" fillId="9" borderId="4" xfId="0" applyFont="1" applyFill="1" applyBorder="1" applyAlignment="1">
      <alignment wrapText="1"/>
    </xf>
    <xf numFmtId="9" fontId="16" fillId="9" borderId="4" xfId="0" applyNumberFormat="1" applyFont="1" applyFill="1" applyBorder="1" applyAlignment="1">
      <alignment horizontal="center" wrapText="1"/>
    </xf>
    <xf numFmtId="0" fontId="21" fillId="0" borderId="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center" vertical="center" wrapText="1"/>
    </xf>
    <xf numFmtId="0" fontId="17" fillId="0" borderId="0" xfId="1" applyFont="1" applyBorder="1"/>
    <xf numFmtId="0" fontId="17" fillId="5" borderId="4" xfId="1" applyFont="1" applyFill="1" applyBorder="1" applyAlignment="1">
      <alignment wrapText="1"/>
    </xf>
    <xf numFmtId="0" fontId="17" fillId="5" borderId="4" xfId="1" applyFont="1" applyFill="1" applyBorder="1"/>
    <xf numFmtId="0" fontId="17" fillId="0" borderId="0" xfId="1" applyFont="1" applyFill="1" applyBorder="1"/>
    <xf numFmtId="0" fontId="16" fillId="11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vertical="top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4" fontId="18" fillId="6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1" fillId="0" borderId="4" xfId="0" applyFont="1" applyBorder="1"/>
    <xf numFmtId="0" fontId="28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 indent="1"/>
    </xf>
    <xf numFmtId="0" fontId="28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8" fillId="0" borderId="4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4" fillId="14" borderId="4" xfId="0" applyFont="1" applyFill="1" applyBorder="1" applyAlignment="1">
      <alignment horizontal="right" vertical="center"/>
    </xf>
    <xf numFmtId="0" fontId="17" fillId="5" borderId="4" xfId="1" applyFont="1" applyFill="1" applyBorder="1" applyAlignment="1"/>
    <xf numFmtId="0" fontId="17" fillId="0" borderId="4" xfId="1" applyFont="1" applyBorder="1" applyAlignment="1">
      <alignment horizontal="right"/>
    </xf>
    <xf numFmtId="0" fontId="17" fillId="0" borderId="4" xfId="1" applyFont="1" applyBorder="1" applyAlignment="1"/>
    <xf numFmtId="0" fontId="17" fillId="5" borderId="4" xfId="1" applyFont="1" applyFill="1" applyBorder="1" applyAlignment="1">
      <alignment horizontal="right"/>
    </xf>
    <xf numFmtId="0" fontId="16" fillId="0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wrapText="1"/>
    </xf>
    <xf numFmtId="0" fontId="18" fillId="0" borderId="0" xfId="0" applyFont="1" applyAlignment="1">
      <alignment horizontal="right" vertical="center"/>
    </xf>
    <xf numFmtId="0" fontId="18" fillId="6" borderId="4" xfId="0" applyFont="1" applyFill="1" applyBorder="1" applyAlignment="1">
      <alignment horizontal="right" vertical="center"/>
    </xf>
    <xf numFmtId="0" fontId="18" fillId="8" borderId="4" xfId="0" applyFont="1" applyFill="1" applyBorder="1" applyAlignment="1">
      <alignment horizontal="left" vertical="center"/>
    </xf>
    <xf numFmtId="0" fontId="18" fillId="8" borderId="4" xfId="0" applyFont="1" applyFill="1" applyBorder="1" applyAlignment="1">
      <alignment horizontal="right" vertical="center"/>
    </xf>
    <xf numFmtId="0" fontId="18" fillId="0" borderId="11" xfId="0" applyFont="1" applyBorder="1" applyAlignment="1">
      <alignment horizontal="right" vertical="center"/>
    </xf>
    <xf numFmtId="0" fontId="18" fillId="0" borderId="4" xfId="0" applyFont="1" applyBorder="1" applyAlignment="1">
      <alignment horizontal="left" vertical="center" wrapText="1"/>
    </xf>
    <xf numFmtId="0" fontId="18" fillId="11" borderId="4" xfId="0" applyFont="1" applyFill="1" applyBorder="1" applyAlignment="1">
      <alignment horizontal="left" vertical="center" wrapText="1"/>
    </xf>
    <xf numFmtId="0" fontId="18" fillId="0" borderId="25" xfId="0" applyFont="1" applyBorder="1" applyAlignment="1">
      <alignment horizontal="right" vertical="center"/>
    </xf>
    <xf numFmtId="0" fontId="18" fillId="0" borderId="4" xfId="0" applyFont="1" applyBorder="1" applyAlignment="1">
      <alignment horizontal="right" vertical="center" wrapText="1"/>
    </xf>
    <xf numFmtId="0" fontId="18" fillId="8" borderId="4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right" vertical="center" wrapText="1"/>
    </xf>
    <xf numFmtId="0" fontId="0" fillId="0" borderId="4" xfId="0" applyFont="1" applyBorder="1" applyAlignment="1">
      <alignment horizontal="left" vertical="center"/>
    </xf>
    <xf numFmtId="0" fontId="5" fillId="7" borderId="15" xfId="0" applyFont="1" applyFill="1" applyBorder="1" applyAlignment="1">
      <alignment horizontal="right" vertical="center"/>
    </xf>
    <xf numFmtId="0" fontId="18" fillId="5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horizontal="right" vertical="center"/>
    </xf>
    <xf numFmtId="0" fontId="0" fillId="0" borderId="4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4" fillId="0" borderId="4" xfId="0" applyFont="1" applyBorder="1" applyAlignment="1">
      <alignment horizontal="righ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7" fillId="2" borderId="4" xfId="1" applyFont="1" applyFill="1" applyBorder="1"/>
    <xf numFmtId="0" fontId="18" fillId="2" borderId="4" xfId="0" applyFont="1" applyFill="1" applyBorder="1" applyAlignment="1">
      <alignment vertical="center" wrapText="1"/>
    </xf>
    <xf numFmtId="0" fontId="17" fillId="2" borderId="4" xfId="1" applyFont="1" applyFill="1" applyBorder="1" applyAlignment="1"/>
    <xf numFmtId="0" fontId="17" fillId="2" borderId="4" xfId="1" applyFont="1" applyFill="1" applyBorder="1" applyAlignment="1">
      <alignment wrapText="1"/>
    </xf>
    <xf numFmtId="0" fontId="16" fillId="2" borderId="4" xfId="0" applyFont="1" applyFill="1" applyBorder="1" applyAlignment="1">
      <alignment wrapText="1"/>
    </xf>
    <xf numFmtId="0" fontId="16" fillId="2" borderId="4" xfId="0" applyFont="1" applyFill="1" applyBorder="1" applyAlignment="1">
      <alignment horizontal="center" vertical="center" wrapText="1"/>
    </xf>
    <xf numFmtId="0" fontId="17" fillId="2" borderId="0" xfId="1" applyFont="1" applyFill="1" applyBorder="1"/>
    <xf numFmtId="0" fontId="17" fillId="2" borderId="4" xfId="1" applyFont="1" applyFill="1" applyBorder="1" applyAlignment="1">
      <alignment horizontal="center"/>
    </xf>
    <xf numFmtId="0" fontId="18" fillId="8" borderId="4" xfId="0" applyFont="1" applyFill="1" applyBorder="1" applyAlignment="1">
      <alignment horizontal="right" vertical="center" wrapText="1"/>
    </xf>
    <xf numFmtId="0" fontId="17" fillId="0" borderId="0" xfId="1" applyFont="1" applyFill="1"/>
    <xf numFmtId="0" fontId="18" fillId="0" borderId="22" xfId="0" applyFont="1" applyFill="1" applyBorder="1" applyAlignment="1">
      <alignment vertical="center" wrapText="1"/>
    </xf>
    <xf numFmtId="0" fontId="17" fillId="0" borderId="0" xfId="1" applyFont="1" applyFill="1" applyBorder="1" applyAlignment="1"/>
    <xf numFmtId="0" fontId="17" fillId="0" borderId="0" xfId="1" applyFont="1" applyFill="1" applyBorder="1" applyAlignment="1">
      <alignment horizontal="center"/>
    </xf>
    <xf numFmtId="0" fontId="17" fillId="0" borderId="0" xfId="1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wrapText="1"/>
    </xf>
    <xf numFmtId="0" fontId="24" fillId="0" borderId="4" xfId="0" applyFont="1" applyBorder="1" applyAlignment="1">
      <alignment horizontal="right" vertical="center" wrapText="1"/>
    </xf>
    <xf numFmtId="0" fontId="18" fillId="16" borderId="4" xfId="0" applyFont="1" applyFill="1" applyBorder="1" applyAlignment="1">
      <alignment horizontal="left" vertical="center"/>
    </xf>
    <xf numFmtId="0" fontId="18" fillId="16" borderId="4" xfId="0" applyFont="1" applyFill="1" applyBorder="1" applyAlignment="1">
      <alignment horizontal="left" vertical="center" wrapText="1"/>
    </xf>
    <xf numFmtId="0" fontId="18" fillId="11" borderId="15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vertical="center"/>
    </xf>
    <xf numFmtId="0" fontId="27" fillId="0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8" fillId="15" borderId="4" xfId="0" applyFont="1" applyFill="1" applyBorder="1" applyAlignment="1">
      <alignment horizontal="right" vertical="center" wrapText="1"/>
    </xf>
    <xf numFmtId="0" fontId="18" fillId="16" borderId="4" xfId="0" applyFont="1" applyFill="1" applyBorder="1" applyAlignment="1">
      <alignment horizontal="right" vertical="center"/>
    </xf>
    <xf numFmtId="0" fontId="18" fillId="16" borderId="4" xfId="0" applyFont="1" applyFill="1" applyBorder="1" applyAlignment="1">
      <alignment horizontal="right" vertical="center" wrapText="1"/>
    </xf>
    <xf numFmtId="0" fontId="18" fillId="0" borderId="4" xfId="0" applyFont="1" applyFill="1" applyBorder="1" applyAlignment="1">
      <alignment horizontal="right" vertical="center"/>
    </xf>
    <xf numFmtId="0" fontId="18" fillId="17" borderId="4" xfId="0" applyFont="1" applyFill="1" applyBorder="1" applyAlignment="1">
      <alignment horizontal="right" vertical="center"/>
    </xf>
    <xf numFmtId="0" fontId="18" fillId="15" borderId="3" xfId="0" applyFont="1" applyFill="1" applyBorder="1" applyAlignment="1">
      <alignment vertical="center"/>
    </xf>
    <xf numFmtId="0" fontId="18" fillId="19" borderId="4" xfId="0" applyFont="1" applyFill="1" applyBorder="1" applyAlignment="1">
      <alignment horizontal="left" vertical="center" wrapText="1"/>
    </xf>
    <xf numFmtId="0" fontId="18" fillId="18" borderId="4" xfId="0" applyFont="1" applyFill="1" applyBorder="1" applyAlignment="1">
      <alignment horizontal="left" vertical="center" wrapText="1"/>
    </xf>
    <xf numFmtId="0" fontId="18" fillId="18" borderId="4" xfId="0" applyFont="1" applyFill="1" applyBorder="1" applyAlignment="1">
      <alignment horizontal="left" vertical="center"/>
    </xf>
    <xf numFmtId="0" fontId="18" fillId="18" borderId="4" xfId="0" applyFont="1" applyFill="1" applyBorder="1" applyAlignment="1">
      <alignment horizontal="right" vertical="center"/>
    </xf>
    <xf numFmtId="0" fontId="18" fillId="19" borderId="4" xfId="0" applyFont="1" applyFill="1" applyBorder="1" applyAlignment="1">
      <alignment horizontal="right" vertical="center"/>
    </xf>
    <xf numFmtId="0" fontId="24" fillId="5" borderId="4" xfId="0" applyFont="1" applyFill="1" applyBorder="1" applyAlignment="1">
      <alignment horizontal="right" vertical="center"/>
    </xf>
    <xf numFmtId="0" fontId="18" fillId="5" borderId="4" xfId="0" applyFont="1" applyFill="1" applyBorder="1" applyAlignment="1">
      <alignment horizontal="right" vertical="center" wrapText="1"/>
    </xf>
    <xf numFmtId="0" fontId="18" fillId="20" borderId="4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0" fontId="17" fillId="20" borderId="4" xfId="1" applyFont="1" applyFill="1" applyBorder="1"/>
    <xf numFmtId="0" fontId="17" fillId="11" borderId="4" xfId="1" applyFont="1" applyFill="1" applyBorder="1"/>
    <xf numFmtId="0" fontId="17" fillId="21" borderId="4" xfId="1" applyFont="1" applyFill="1" applyBorder="1"/>
    <xf numFmtId="0" fontId="24" fillId="14" borderId="0" xfId="0" applyFont="1" applyFill="1" applyBorder="1" applyAlignment="1">
      <alignment horizontal="right" vertical="center"/>
    </xf>
    <xf numFmtId="0" fontId="18" fillId="20" borderId="4" xfId="0" applyFont="1" applyFill="1" applyBorder="1" applyAlignment="1">
      <alignment horizontal="right" vertical="center"/>
    </xf>
    <xf numFmtId="0" fontId="16" fillId="0" borderId="4" xfId="0" applyFont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vertical="center" wrapText="1"/>
    </xf>
    <xf numFmtId="0" fontId="32" fillId="4" borderId="0" xfId="0" applyFont="1" applyFill="1" applyAlignment="1">
      <alignment vertical="top" wrapText="1"/>
    </xf>
    <xf numFmtId="0" fontId="32" fillId="4" borderId="26" xfId="0" applyFont="1" applyFill="1" applyBorder="1" applyAlignment="1">
      <alignment horizontal="center" vertical="center" wrapText="1"/>
    </xf>
    <xf numFmtId="0" fontId="32" fillId="4" borderId="26" xfId="0" applyFont="1" applyFill="1" applyBorder="1" applyAlignment="1">
      <alignment vertical="top" wrapText="1"/>
    </xf>
    <xf numFmtId="0" fontId="32" fillId="4" borderId="31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right" vertical="center" wrapText="1"/>
    </xf>
    <xf numFmtId="0" fontId="33" fillId="0" borderId="0" xfId="0" applyFont="1"/>
    <xf numFmtId="0" fontId="0" fillId="0" borderId="4" xfId="0" applyBorder="1" applyAlignment="1">
      <alignment horizontal="left"/>
    </xf>
    <xf numFmtId="0" fontId="32" fillId="4" borderId="4" xfId="0" applyFont="1" applyFill="1" applyBorder="1" applyAlignment="1">
      <alignment horizontal="left" vertical="center" wrapText="1"/>
    </xf>
    <xf numFmtId="2" fontId="34" fillId="4" borderId="4" xfId="0" applyNumberFormat="1" applyFont="1" applyFill="1" applyBorder="1" applyAlignment="1">
      <alignment horizontal="center" vertical="center" wrapText="1"/>
    </xf>
    <xf numFmtId="2" fontId="35" fillId="0" borderId="4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 indent="9"/>
    </xf>
    <xf numFmtId="0" fontId="36" fillId="0" borderId="0" xfId="0" applyFont="1" applyAlignment="1">
      <alignment vertical="top" wrapText="1"/>
    </xf>
    <xf numFmtId="0" fontId="36" fillId="0" borderId="26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6" fillId="0" borderId="34" xfId="0" applyFont="1" applyBorder="1" applyAlignment="1">
      <alignment vertical="center" wrapText="1"/>
    </xf>
    <xf numFmtId="0" fontId="37" fillId="0" borderId="33" xfId="2" applyBorder="1" applyAlignment="1">
      <alignment vertical="center" wrapText="1"/>
    </xf>
    <xf numFmtId="0" fontId="37" fillId="0" borderId="30" xfId="2" applyBorder="1" applyAlignment="1">
      <alignment vertical="center" wrapText="1"/>
    </xf>
    <xf numFmtId="0" fontId="37" fillId="0" borderId="27" xfId="2" applyBorder="1" applyAlignment="1">
      <alignment vertical="center" wrapText="1"/>
    </xf>
    <xf numFmtId="0" fontId="36" fillId="0" borderId="0" xfId="0" applyFont="1" applyBorder="1" applyAlignment="1">
      <alignment vertical="center" wrapText="1"/>
    </xf>
    <xf numFmtId="0" fontId="36" fillId="0" borderId="35" xfId="0" applyFont="1" applyBorder="1" applyAlignment="1">
      <alignment vertical="center" wrapText="1"/>
    </xf>
    <xf numFmtId="0" fontId="5" fillId="0" borderId="4" xfId="0" applyFont="1" applyFill="1" applyBorder="1" applyAlignment="1">
      <alignment wrapText="1"/>
    </xf>
    <xf numFmtId="0" fontId="17" fillId="2" borderId="4" xfId="1" applyFont="1" applyFill="1" applyBorder="1" applyAlignment="1">
      <alignment horizontal="center" wrapText="1"/>
    </xf>
    <xf numFmtId="0" fontId="23" fillId="8" borderId="4" xfId="1" applyFont="1" applyFill="1" applyBorder="1" applyAlignment="1"/>
    <xf numFmtId="0" fontId="18" fillId="0" borderId="4" xfId="0" applyFont="1" applyBorder="1" applyAlignment="1">
      <alignment vertical="center" wrapText="1"/>
    </xf>
    <xf numFmtId="0" fontId="17" fillId="12" borderId="4" xfId="1" applyFont="1" applyFill="1" applyBorder="1"/>
    <xf numFmtId="0" fontId="17" fillId="13" borderId="4" xfId="1" applyFont="1" applyFill="1" applyBorder="1"/>
    <xf numFmtId="0" fontId="20" fillId="4" borderId="4" xfId="0" applyFont="1" applyFill="1" applyBorder="1" applyAlignment="1">
      <alignment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7" fillId="0" borderId="2" xfId="1" applyFont="1" applyBorder="1" applyAlignment="1"/>
    <xf numFmtId="0" fontId="30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 wrapText="1"/>
    </xf>
    <xf numFmtId="0" fontId="0" fillId="0" borderId="3" xfId="0" applyBorder="1"/>
    <xf numFmtId="0" fontId="5" fillId="11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27" fillId="0" borderId="30" xfId="0" applyFont="1" applyBorder="1" applyAlignment="1">
      <alignment horizontal="center"/>
    </xf>
    <xf numFmtId="0" fontId="27" fillId="0" borderId="4" xfId="0" applyFont="1" applyBorder="1" applyAlignment="1">
      <alignment horizontal="left" vertical="center" wrapText="1"/>
    </xf>
    <xf numFmtId="0" fontId="32" fillId="4" borderId="25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8" fillId="11" borderId="4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16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left" wrapText="1"/>
    </xf>
    <xf numFmtId="0" fontId="31" fillId="21" borderId="4" xfId="1" applyFont="1" applyFill="1" applyBorder="1" applyAlignment="1">
      <alignment horizontal="left"/>
    </xf>
    <xf numFmtId="0" fontId="31" fillId="20" borderId="4" xfId="1" applyFont="1" applyFill="1" applyBorder="1" applyAlignment="1">
      <alignment horizontal="left"/>
    </xf>
    <xf numFmtId="0" fontId="16" fillId="5" borderId="4" xfId="0" applyFont="1" applyFill="1" applyBorder="1" applyAlignment="1">
      <alignment horizontal="left" wrapText="1"/>
    </xf>
    <xf numFmtId="0" fontId="16" fillId="0" borderId="4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left" wrapText="1"/>
    </xf>
    <xf numFmtId="0" fontId="16" fillId="0" borderId="4" xfId="0" applyFont="1" applyBorder="1" applyAlignment="1">
      <alignment horizontal="left" wrapText="1"/>
    </xf>
    <xf numFmtId="0" fontId="0" fillId="10" borderId="1" xfId="0" applyFont="1" applyFill="1" applyBorder="1" applyAlignment="1">
      <alignment horizontal="center" wrapText="1"/>
    </xf>
    <xf numFmtId="0" fontId="0" fillId="10" borderId="2" xfId="0" applyFont="1" applyFill="1" applyBorder="1" applyAlignment="1">
      <alignment horizontal="center" wrapText="1"/>
    </xf>
    <xf numFmtId="0" fontId="0" fillId="10" borderId="3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0" fontId="5" fillId="10" borderId="3" xfId="0" applyFont="1" applyFill="1" applyBorder="1" applyAlignment="1">
      <alignment horizontal="center" wrapText="1"/>
    </xf>
    <xf numFmtId="0" fontId="17" fillId="0" borderId="38" xfId="1" applyFont="1" applyBorder="1" applyAlignment="1">
      <alignment horizontal="center"/>
    </xf>
    <xf numFmtId="0" fontId="17" fillId="0" borderId="22" xfId="1" applyFont="1" applyBorder="1" applyAlignment="1">
      <alignment horizontal="center"/>
    </xf>
    <xf numFmtId="0" fontId="17" fillId="0" borderId="39" xfId="1" applyFont="1" applyBorder="1" applyAlignment="1">
      <alignment horizontal="center"/>
    </xf>
    <xf numFmtId="0" fontId="17" fillId="0" borderId="41" xfId="1" applyFont="1" applyBorder="1" applyAlignment="1">
      <alignment horizontal="center"/>
    </xf>
    <xf numFmtId="0" fontId="17" fillId="0" borderId="0" xfId="1" applyFont="1" applyBorder="1" applyAlignment="1">
      <alignment horizontal="center"/>
    </xf>
    <xf numFmtId="0" fontId="17" fillId="0" borderId="42" xfId="1" applyFont="1" applyBorder="1" applyAlignment="1">
      <alignment horizontal="center"/>
    </xf>
    <xf numFmtId="0" fontId="17" fillId="0" borderId="36" xfId="1" applyFont="1" applyBorder="1" applyAlignment="1">
      <alignment horizontal="center"/>
    </xf>
    <xf numFmtId="0" fontId="17" fillId="0" borderId="23" xfId="1" applyFont="1" applyBorder="1" applyAlignment="1">
      <alignment horizontal="center"/>
    </xf>
    <xf numFmtId="0" fontId="17" fillId="0" borderId="37" xfId="1" applyFont="1" applyBorder="1" applyAlignment="1">
      <alignment horizontal="center"/>
    </xf>
    <xf numFmtId="0" fontId="19" fillId="4" borderId="4" xfId="0" applyFont="1" applyFill="1" applyBorder="1" applyAlignment="1">
      <alignment horizontal="center" vertical="center" wrapText="1"/>
    </xf>
    <xf numFmtId="0" fontId="23" fillId="8" borderId="4" xfId="1" applyFont="1" applyFill="1" applyBorder="1" applyAlignment="1">
      <alignment horizontal="center"/>
    </xf>
    <xf numFmtId="0" fontId="19" fillId="4" borderId="4" xfId="0" applyFont="1" applyFill="1" applyBorder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0" fontId="17" fillId="0" borderId="3" xfId="1" applyFont="1" applyBorder="1" applyAlignment="1">
      <alignment horizontal="center"/>
    </xf>
    <xf numFmtId="0" fontId="38" fillId="0" borderId="1" xfId="1" applyFont="1" applyBorder="1" applyAlignment="1">
      <alignment horizontal="center" wrapText="1"/>
    </xf>
    <xf numFmtId="0" fontId="38" fillId="0" borderId="2" xfId="1" applyFont="1" applyBorder="1" applyAlignment="1">
      <alignment horizontal="center"/>
    </xf>
    <xf numFmtId="0" fontId="38" fillId="0" borderId="3" xfId="1" applyFont="1" applyBorder="1" applyAlignment="1">
      <alignment horizontal="center"/>
    </xf>
    <xf numFmtId="0" fontId="5" fillId="0" borderId="4" xfId="0" applyFont="1" applyFill="1" applyBorder="1" applyAlignment="1">
      <alignment horizontal="center" wrapText="1"/>
    </xf>
    <xf numFmtId="0" fontId="5" fillId="10" borderId="4" xfId="0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3" borderId="22" xfId="0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2" xfId="1" xr:uid="{E9E97C24-308F-4709-81C7-B8119080C157}"/>
  </cellStyles>
  <dxfs count="0"/>
  <tableStyles count="0" defaultTableStyle="TableStyleMedium2" defaultPivotStyle="PivotStyleLight16"/>
  <colors>
    <mruColors>
      <color rgb="FFFFFFF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0</xdr:rowOff>
    </xdr:from>
    <xdr:to>
      <xdr:col>1</xdr:col>
      <xdr:colOff>85725</xdr:colOff>
      <xdr:row>171</xdr:row>
      <xdr:rowOff>32657</xdr:rowOff>
    </xdr:to>
    <xdr:sp macro="" textlink="">
      <xdr:nvSpPr>
        <xdr:cNvPr id="37889" name="AutoShape 1">
          <a:extLst>
            <a:ext uri="{FF2B5EF4-FFF2-40B4-BE49-F238E27FC236}">
              <a16:creationId xmlns:a16="http://schemas.microsoft.com/office/drawing/2014/main" id="{5A0F546A-65AC-4611-9A0B-6B1C9CFA7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19300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231321</xdr:colOff>
      <xdr:row>169</xdr:row>
      <xdr:rowOff>0</xdr:rowOff>
    </xdr:from>
    <xdr:to>
      <xdr:col>1</xdr:col>
      <xdr:colOff>317046</xdr:colOff>
      <xdr:row>170</xdr:row>
      <xdr:rowOff>32657</xdr:rowOff>
    </xdr:to>
    <xdr:sp macro="" textlink="">
      <xdr:nvSpPr>
        <xdr:cNvPr id="37890" name="AutoShape 2">
          <a:extLst>
            <a:ext uri="{FF2B5EF4-FFF2-40B4-BE49-F238E27FC236}">
              <a16:creationId xmlns:a16="http://schemas.microsoft.com/office/drawing/2014/main" id="{9E5378BF-2D35-4471-9B59-4A5445DCD5CC}"/>
            </a:ext>
          </a:extLst>
        </xdr:cNvPr>
        <xdr:cNvSpPr>
          <a:spLocks noChangeAspect="1" noChangeArrowheads="1"/>
        </xdr:cNvSpPr>
      </xdr:nvSpPr>
      <xdr:spPr bwMode="auto">
        <a:xfrm>
          <a:off x="843642" y="40726179"/>
          <a:ext cx="85725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85725</xdr:colOff>
      <xdr:row>172</xdr:row>
      <xdr:rowOff>32657</xdr:rowOff>
    </xdr:to>
    <xdr:sp macro="" textlink="">
      <xdr:nvSpPr>
        <xdr:cNvPr id="37891" name="AutoShape 3">
          <a:extLst>
            <a:ext uri="{FF2B5EF4-FFF2-40B4-BE49-F238E27FC236}">
              <a16:creationId xmlns:a16="http://schemas.microsoft.com/office/drawing/2014/main" id="{8E5D5D85-A612-4BCC-B086-48533A6A3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900350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158</xdr:row>
      <xdr:rowOff>0</xdr:rowOff>
    </xdr:from>
    <xdr:ext cx="85725" cy="223157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3E988D5-D3DA-4A86-96F1-322D88F5136A}"/>
            </a:ext>
          </a:extLst>
        </xdr:cNvPr>
        <xdr:cNvSpPr>
          <a:spLocks noChangeAspect="1" noChangeArrowheads="1"/>
        </xdr:cNvSpPr>
      </xdr:nvSpPr>
      <xdr:spPr bwMode="auto">
        <a:xfrm>
          <a:off x="612321" y="40916679"/>
          <a:ext cx="85725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544286</xdr:colOff>
      <xdr:row>170</xdr:row>
      <xdr:rowOff>13608</xdr:rowOff>
    </xdr:from>
    <xdr:ext cx="85725" cy="223157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0F9CA0B-BF64-41EE-BCB8-7B4D9E37AB61}"/>
            </a:ext>
          </a:extLst>
        </xdr:cNvPr>
        <xdr:cNvSpPr>
          <a:spLocks noChangeAspect="1" noChangeArrowheads="1"/>
        </xdr:cNvSpPr>
      </xdr:nvSpPr>
      <xdr:spPr bwMode="auto">
        <a:xfrm>
          <a:off x="16872857" y="42073287"/>
          <a:ext cx="85725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169</xdr:row>
      <xdr:rowOff>0</xdr:rowOff>
    </xdr:from>
    <xdr:ext cx="85725" cy="223157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AEE1651-68F3-4D60-9D91-ED5496278A78}"/>
            </a:ext>
          </a:extLst>
        </xdr:cNvPr>
        <xdr:cNvSpPr>
          <a:spLocks noChangeAspect="1" noChangeArrowheads="1"/>
        </xdr:cNvSpPr>
      </xdr:nvSpPr>
      <xdr:spPr bwMode="auto">
        <a:xfrm>
          <a:off x="15103929" y="41869179"/>
          <a:ext cx="85725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544286</xdr:colOff>
      <xdr:row>170</xdr:row>
      <xdr:rowOff>13608</xdr:rowOff>
    </xdr:from>
    <xdr:ext cx="85725" cy="223157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1A5CBB4C-13B8-4830-B909-D0FEA0CC0C2D}"/>
            </a:ext>
          </a:extLst>
        </xdr:cNvPr>
        <xdr:cNvSpPr>
          <a:spLocks noChangeAspect="1" noChangeArrowheads="1"/>
        </xdr:cNvSpPr>
      </xdr:nvSpPr>
      <xdr:spPr bwMode="auto">
        <a:xfrm>
          <a:off x="16872857" y="42073287"/>
          <a:ext cx="85725" cy="22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0</xdr:colOff>
      <xdr:row>139</xdr:row>
      <xdr:rowOff>0</xdr:rowOff>
    </xdr:from>
    <xdr:to>
      <xdr:col>11</xdr:col>
      <xdr:colOff>85725</xdr:colOff>
      <xdr:row>139</xdr:row>
      <xdr:rowOff>219075</xdr:rowOff>
    </xdr:to>
    <xdr:sp macro="" textlink="">
      <xdr:nvSpPr>
        <xdr:cNvPr id="37912" name="AutoShape 24">
          <a:extLst>
            <a:ext uri="{FF2B5EF4-FFF2-40B4-BE49-F238E27FC236}">
              <a16:creationId xmlns:a16="http://schemas.microsoft.com/office/drawing/2014/main" id="{E96AA668-0063-40B7-A0AB-F3CDA43C5AC1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301847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141</xdr:row>
      <xdr:rowOff>0</xdr:rowOff>
    </xdr:from>
    <xdr:to>
      <xdr:col>11</xdr:col>
      <xdr:colOff>85725</xdr:colOff>
      <xdr:row>141</xdr:row>
      <xdr:rowOff>219075</xdr:rowOff>
    </xdr:to>
    <xdr:sp macro="" textlink="">
      <xdr:nvSpPr>
        <xdr:cNvPr id="37913" name="AutoShape 25">
          <a:extLst>
            <a:ext uri="{FF2B5EF4-FFF2-40B4-BE49-F238E27FC236}">
              <a16:creationId xmlns:a16="http://schemas.microsoft.com/office/drawing/2014/main" id="{1883E0FF-1A76-4FB6-82EB-A1163368ED84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31680150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136</xdr:row>
      <xdr:rowOff>0</xdr:rowOff>
    </xdr:from>
    <xdr:to>
      <xdr:col>11</xdr:col>
      <xdr:colOff>85725</xdr:colOff>
      <xdr:row>136</xdr:row>
      <xdr:rowOff>219075</xdr:rowOff>
    </xdr:to>
    <xdr:sp macro="" textlink="">
      <xdr:nvSpPr>
        <xdr:cNvPr id="37914" name="AutoShape 26">
          <a:extLst>
            <a:ext uri="{FF2B5EF4-FFF2-40B4-BE49-F238E27FC236}">
              <a16:creationId xmlns:a16="http://schemas.microsoft.com/office/drawing/2014/main" id="{79C13A11-9B53-4E4D-A258-325BF5DD32E5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334994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142</xdr:row>
      <xdr:rowOff>0</xdr:rowOff>
    </xdr:from>
    <xdr:to>
      <xdr:col>9</xdr:col>
      <xdr:colOff>104775</xdr:colOff>
      <xdr:row>142</xdr:row>
      <xdr:rowOff>219075</xdr:rowOff>
    </xdr:to>
    <xdr:sp macro="" textlink="">
      <xdr:nvSpPr>
        <xdr:cNvPr id="37915" name="AutoShape 27">
          <a:extLst>
            <a:ext uri="{FF2B5EF4-FFF2-40B4-BE49-F238E27FC236}">
              <a16:creationId xmlns:a16="http://schemas.microsoft.com/office/drawing/2014/main" id="{2E265B60-B632-4235-9ABD-7D4C58A45C6B}"/>
            </a:ext>
          </a:extLst>
        </xdr:cNvPr>
        <xdr:cNvSpPr>
          <a:spLocks noChangeAspect="1" noChangeArrowheads="1"/>
        </xdr:cNvSpPr>
      </xdr:nvSpPr>
      <xdr:spPr bwMode="auto">
        <a:xfrm>
          <a:off x="11725275" y="37585650"/>
          <a:ext cx="1047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142</xdr:row>
      <xdr:rowOff>0</xdr:rowOff>
    </xdr:from>
    <xdr:to>
      <xdr:col>11</xdr:col>
      <xdr:colOff>104775</xdr:colOff>
      <xdr:row>142</xdr:row>
      <xdr:rowOff>219075</xdr:rowOff>
    </xdr:to>
    <xdr:sp macro="" textlink="">
      <xdr:nvSpPr>
        <xdr:cNvPr id="37916" name="AutoShape 28">
          <a:extLst>
            <a:ext uri="{FF2B5EF4-FFF2-40B4-BE49-F238E27FC236}">
              <a16:creationId xmlns:a16="http://schemas.microsoft.com/office/drawing/2014/main" id="{214A235A-8C80-408B-9755-4495D786AD80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37585650"/>
          <a:ext cx="1047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137</xdr:row>
      <xdr:rowOff>0</xdr:rowOff>
    </xdr:from>
    <xdr:to>
      <xdr:col>11</xdr:col>
      <xdr:colOff>85725</xdr:colOff>
      <xdr:row>137</xdr:row>
      <xdr:rowOff>219075</xdr:rowOff>
    </xdr:to>
    <xdr:sp macro="" textlink="">
      <xdr:nvSpPr>
        <xdr:cNvPr id="37917" name="AutoShape 29">
          <a:extLst>
            <a:ext uri="{FF2B5EF4-FFF2-40B4-BE49-F238E27FC236}">
              <a16:creationId xmlns:a16="http://schemas.microsoft.com/office/drawing/2014/main" id="{6B194F10-F67B-40DD-8CB2-E07842F12F5F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39490650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143</xdr:row>
      <xdr:rowOff>0</xdr:rowOff>
    </xdr:from>
    <xdr:to>
      <xdr:col>11</xdr:col>
      <xdr:colOff>85725</xdr:colOff>
      <xdr:row>144</xdr:row>
      <xdr:rowOff>14968</xdr:rowOff>
    </xdr:to>
    <xdr:sp macro="" textlink="">
      <xdr:nvSpPr>
        <xdr:cNvPr id="37918" name="AutoShape 30">
          <a:extLst>
            <a:ext uri="{FF2B5EF4-FFF2-40B4-BE49-F238E27FC236}">
              <a16:creationId xmlns:a16="http://schemas.microsoft.com/office/drawing/2014/main" id="{B78748EF-D1CE-4D1C-B9C0-88B28C014AC6}"/>
            </a:ext>
          </a:extLst>
        </xdr:cNvPr>
        <xdr:cNvSpPr>
          <a:spLocks noChangeAspect="1" noChangeArrowheads="1"/>
        </xdr:cNvSpPr>
      </xdr:nvSpPr>
      <xdr:spPr bwMode="auto">
        <a:xfrm>
          <a:off x="12944475" y="408146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85725</xdr:colOff>
      <xdr:row>144</xdr:row>
      <xdr:rowOff>219075</xdr:rowOff>
    </xdr:to>
    <xdr:sp macro="" textlink="">
      <xdr:nvSpPr>
        <xdr:cNvPr id="37919" name="AutoShape 31">
          <a:extLst>
            <a:ext uri="{FF2B5EF4-FFF2-40B4-BE49-F238E27FC236}">
              <a16:creationId xmlns:a16="http://schemas.microsoft.com/office/drawing/2014/main" id="{18A34A60-472A-43DB-A915-8BFA9FA57C83}"/>
            </a:ext>
          </a:extLst>
        </xdr:cNvPr>
        <xdr:cNvSpPr>
          <a:spLocks noChangeAspect="1" noChangeArrowheads="1"/>
        </xdr:cNvSpPr>
      </xdr:nvSpPr>
      <xdr:spPr bwMode="auto">
        <a:xfrm>
          <a:off x="10239375" y="415004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104775</xdr:colOff>
      <xdr:row>145</xdr:row>
      <xdr:rowOff>219075</xdr:rowOff>
    </xdr:to>
    <xdr:sp macro="" textlink="">
      <xdr:nvSpPr>
        <xdr:cNvPr id="37920" name="AutoShape 32">
          <a:extLst>
            <a:ext uri="{FF2B5EF4-FFF2-40B4-BE49-F238E27FC236}">
              <a16:creationId xmlns:a16="http://schemas.microsoft.com/office/drawing/2014/main" id="{F7AF90E9-055B-4599-9308-D85B62EE1CD6}"/>
            </a:ext>
          </a:extLst>
        </xdr:cNvPr>
        <xdr:cNvSpPr>
          <a:spLocks noChangeAspect="1" noChangeArrowheads="1"/>
        </xdr:cNvSpPr>
      </xdr:nvSpPr>
      <xdr:spPr bwMode="auto">
        <a:xfrm>
          <a:off x="10239375" y="41690925"/>
          <a:ext cx="1047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104775</xdr:colOff>
      <xdr:row>146</xdr:row>
      <xdr:rowOff>219075</xdr:rowOff>
    </xdr:to>
    <xdr:sp macro="" textlink="">
      <xdr:nvSpPr>
        <xdr:cNvPr id="37921" name="AutoShape 33">
          <a:extLst>
            <a:ext uri="{FF2B5EF4-FFF2-40B4-BE49-F238E27FC236}">
              <a16:creationId xmlns:a16="http://schemas.microsoft.com/office/drawing/2014/main" id="{1BFF5EFA-81C5-4419-814B-444C17808E5B}"/>
            </a:ext>
          </a:extLst>
        </xdr:cNvPr>
        <xdr:cNvSpPr>
          <a:spLocks noChangeAspect="1" noChangeArrowheads="1"/>
        </xdr:cNvSpPr>
      </xdr:nvSpPr>
      <xdr:spPr bwMode="auto">
        <a:xfrm>
          <a:off x="10239375" y="42071925"/>
          <a:ext cx="1047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150</xdr:row>
      <xdr:rowOff>0</xdr:rowOff>
    </xdr:from>
    <xdr:ext cx="85725" cy="219075"/>
    <xdr:sp macro="" textlink="">
      <xdr:nvSpPr>
        <xdr:cNvPr id="39" name="AutoShape 24">
          <a:extLst>
            <a:ext uri="{FF2B5EF4-FFF2-40B4-BE49-F238E27FC236}">
              <a16:creationId xmlns:a16="http://schemas.microsoft.com/office/drawing/2014/main" id="{B1DDC464-C5A5-4D87-84F9-416AB7A9E247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155496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152</xdr:row>
      <xdr:rowOff>0</xdr:rowOff>
    </xdr:from>
    <xdr:ext cx="85725" cy="219075"/>
    <xdr:sp macro="" textlink="">
      <xdr:nvSpPr>
        <xdr:cNvPr id="40" name="AutoShape 25">
          <a:extLst>
            <a:ext uri="{FF2B5EF4-FFF2-40B4-BE49-F238E27FC236}">
              <a16:creationId xmlns:a16="http://schemas.microsoft.com/office/drawing/2014/main" id="{B518FF99-80B4-4D17-9B42-1CEFDF4DD1A8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4725429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147</xdr:row>
      <xdr:rowOff>0</xdr:rowOff>
    </xdr:from>
    <xdr:ext cx="85725" cy="219075"/>
    <xdr:sp macro="" textlink="">
      <xdr:nvSpPr>
        <xdr:cNvPr id="41" name="AutoShape 26">
          <a:extLst>
            <a:ext uri="{FF2B5EF4-FFF2-40B4-BE49-F238E27FC236}">
              <a16:creationId xmlns:a16="http://schemas.microsoft.com/office/drawing/2014/main" id="{FA8F27EA-D6C8-4D37-A28E-E508710E36B3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29881286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148</xdr:row>
      <xdr:rowOff>0</xdr:rowOff>
    </xdr:from>
    <xdr:ext cx="85725" cy="219075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8C1DA5F1-DC64-49F5-884F-74219D8EC76D}"/>
            </a:ext>
          </a:extLst>
        </xdr:cNvPr>
        <xdr:cNvSpPr>
          <a:spLocks noChangeAspect="1" noChangeArrowheads="1"/>
        </xdr:cNvSpPr>
      </xdr:nvSpPr>
      <xdr:spPr bwMode="auto">
        <a:xfrm>
          <a:off x="12954000" y="30207857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16</xdr:row>
      <xdr:rowOff>0</xdr:rowOff>
    </xdr:from>
    <xdr:to>
      <xdr:col>4</xdr:col>
      <xdr:colOff>104775</xdr:colOff>
      <xdr:row>16</xdr:row>
      <xdr:rowOff>215714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B971FEB1-D8B5-4E09-9C73-77475ABB7397}"/>
            </a:ext>
          </a:extLst>
        </xdr:cNvPr>
        <xdr:cNvSpPr>
          <a:spLocks noChangeAspect="1" noChangeArrowheads="1"/>
        </xdr:cNvSpPr>
      </xdr:nvSpPr>
      <xdr:spPr bwMode="auto">
        <a:xfrm>
          <a:off x="6724650" y="4457700"/>
          <a:ext cx="104775" cy="21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85725</xdr:colOff>
      <xdr:row>96</xdr:row>
      <xdr:rowOff>42182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B04B205-7CE6-47E2-BFB0-CDFC2F18E0C7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66045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85725</xdr:colOff>
      <xdr:row>96</xdr:row>
      <xdr:rowOff>32656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1BE9ACC-A0F1-4D51-B35B-6EE9A60C899B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67950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85725</xdr:colOff>
      <xdr:row>101</xdr:row>
      <xdr:rowOff>32656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C923C20-12F9-4E12-8081-AC1536FF7C10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77475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85725</xdr:colOff>
      <xdr:row>93</xdr:row>
      <xdr:rowOff>219075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BA65D529-4282-473F-BBED-D7773BEBBB1C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40709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95</xdr:row>
      <xdr:rowOff>0</xdr:rowOff>
    </xdr:from>
    <xdr:ext cx="85725" cy="232682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D45D3149-7721-4B7A-BF90-4A3D66D36F02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62997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95</xdr:row>
      <xdr:rowOff>0</xdr:rowOff>
    </xdr:from>
    <xdr:ext cx="85725" cy="223156"/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CA9A613C-5A28-48FC-A67F-F18CF00A9D6A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64902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100</xdr:row>
      <xdr:rowOff>0</xdr:rowOff>
    </xdr:from>
    <xdr:ext cx="85725" cy="223156"/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E2AB4F9A-BEEB-491E-9FEE-ABF226EF1E01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74427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93</xdr:row>
      <xdr:rowOff>0</xdr:rowOff>
    </xdr:from>
    <xdr:ext cx="85725" cy="219075"/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149B8009-0EDF-47E8-BE55-6EBB01276BB6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337661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85725" cy="232682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F67802CC-CD83-436B-8B3E-CBBA6A0041DA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62997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85725" cy="223156"/>
    <xdr:sp macro="" textlink="">
      <xdr:nvSpPr>
        <xdr:cNvPr id="16" name="AutoShape 3">
          <a:extLst>
            <a:ext uri="{FF2B5EF4-FFF2-40B4-BE49-F238E27FC236}">
              <a16:creationId xmlns:a16="http://schemas.microsoft.com/office/drawing/2014/main" id="{3787CE0F-AA99-4EC8-9A32-CB39349665BD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64902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100</xdr:row>
      <xdr:rowOff>0</xdr:rowOff>
    </xdr:from>
    <xdr:ext cx="85725" cy="223156"/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25A46307-6B81-4ED2-8D55-BDA5EE568CA6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74427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93</xdr:row>
      <xdr:rowOff>0</xdr:rowOff>
    </xdr:from>
    <xdr:ext cx="85725" cy="219075"/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FF22E39D-2B59-45A2-BD9F-5E7978316B5E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37661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85725" cy="232682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082B8513-32FC-4630-9908-125D58E4E23E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62997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95</xdr:row>
      <xdr:rowOff>0</xdr:rowOff>
    </xdr:from>
    <xdr:ext cx="85725" cy="223156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B7A248C3-4DBD-4C14-8D40-E2B76121B4A4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64902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100</xdr:row>
      <xdr:rowOff>0</xdr:rowOff>
    </xdr:from>
    <xdr:ext cx="85725" cy="223156"/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53F6271A-293C-414C-AE0E-BB87694F158D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74427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93</xdr:row>
      <xdr:rowOff>0</xdr:rowOff>
    </xdr:from>
    <xdr:ext cx="85725" cy="219075"/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F985031B-A77A-4CF9-89F2-2A8C4A85FDAF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337661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95</xdr:row>
      <xdr:rowOff>0</xdr:rowOff>
    </xdr:from>
    <xdr:ext cx="85725" cy="232682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4C795B73-76DA-47C7-AC0F-C4D859B98DFC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62997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95</xdr:row>
      <xdr:rowOff>0</xdr:rowOff>
    </xdr:from>
    <xdr:ext cx="85725" cy="223156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3BEF135E-BCBB-4663-AB18-7F283CDCE928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64902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100</xdr:row>
      <xdr:rowOff>0</xdr:rowOff>
    </xdr:from>
    <xdr:ext cx="85725" cy="223156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B9F0309E-414E-4B35-A343-5DA4245295BE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74427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93</xdr:row>
      <xdr:rowOff>0</xdr:rowOff>
    </xdr:from>
    <xdr:ext cx="85725" cy="219075"/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36E0F633-70A5-495B-9F0D-A713BA77BC1A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37661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95</xdr:row>
      <xdr:rowOff>0</xdr:rowOff>
    </xdr:from>
    <xdr:ext cx="85725" cy="232682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F2A896F8-BFC8-4D88-8F74-16AAEE2EFB32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6299775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95</xdr:row>
      <xdr:rowOff>0</xdr:rowOff>
    </xdr:from>
    <xdr:ext cx="85725" cy="223156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B5792250-B4D7-43E7-8874-026D9E39ACD9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64902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100</xdr:row>
      <xdr:rowOff>0</xdr:rowOff>
    </xdr:from>
    <xdr:ext cx="85725" cy="223156"/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CB11D976-F318-429E-A1CE-DED1AC957C5B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7442775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93</xdr:row>
      <xdr:rowOff>0</xdr:rowOff>
    </xdr:from>
    <xdr:ext cx="85725" cy="219075"/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41C038D7-DC7C-4D65-97EC-F7058581827C}"/>
            </a:ext>
          </a:extLst>
        </xdr:cNvPr>
        <xdr:cNvSpPr>
          <a:spLocks noChangeAspect="1" noChangeArrowheads="1"/>
        </xdr:cNvSpPr>
      </xdr:nvSpPr>
      <xdr:spPr bwMode="auto">
        <a:xfrm>
          <a:off x="13992225" y="33766125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85725" cy="232682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D2D242F9-5C60-4319-AF06-E1D00AEA03BF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631746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85725" cy="223156"/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0F799914-B7F2-402E-BF49-542E43FE3D2A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650796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100</xdr:row>
      <xdr:rowOff>0</xdr:rowOff>
    </xdr:from>
    <xdr:ext cx="85725" cy="223156"/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FCF05D48-8BC3-4CAF-B76F-25B40EC16FB6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746046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85725" cy="219075"/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A25EC314-544E-4E21-8596-C407C6AD1B23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3786536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85725" cy="232682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61A1352-3323-4690-97AB-C1A4B0E311A6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631746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95</xdr:row>
      <xdr:rowOff>0</xdr:rowOff>
    </xdr:from>
    <xdr:ext cx="85725" cy="223156"/>
    <xdr:sp macro="" textlink="">
      <xdr:nvSpPr>
        <xdr:cNvPr id="36" name="AutoShape 3">
          <a:extLst>
            <a:ext uri="{FF2B5EF4-FFF2-40B4-BE49-F238E27FC236}">
              <a16:creationId xmlns:a16="http://schemas.microsoft.com/office/drawing/2014/main" id="{8DFD6840-14B3-46B1-A5C4-7A488579AAF7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650796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100</xdr:row>
      <xdr:rowOff>0</xdr:rowOff>
    </xdr:from>
    <xdr:ext cx="85725" cy="223156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AC5922BC-92B4-41BC-89DF-22C5018409C4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746046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93</xdr:row>
      <xdr:rowOff>0</xdr:rowOff>
    </xdr:from>
    <xdr:ext cx="85725" cy="219075"/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EC164912-32D2-481F-BEE6-9F5D6E0B776E}"/>
            </a:ext>
          </a:extLst>
        </xdr:cNvPr>
        <xdr:cNvSpPr>
          <a:spLocks noChangeAspect="1" noChangeArrowheads="1"/>
        </xdr:cNvSpPr>
      </xdr:nvSpPr>
      <xdr:spPr bwMode="auto">
        <a:xfrm>
          <a:off x="14001750" y="33786536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32682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00554DE1-E30F-4AAF-A822-2117A1495222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23156"/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B81E4605-B4E5-4719-A180-7748DC79FB5F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100</xdr:row>
      <xdr:rowOff>0</xdr:rowOff>
    </xdr:from>
    <xdr:ext cx="85725" cy="223156"/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9A4C2320-33C3-4BA1-A84D-5DE05D33F037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93</xdr:row>
      <xdr:rowOff>0</xdr:rowOff>
    </xdr:from>
    <xdr:ext cx="85725" cy="219075"/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244AD73D-7205-4CDA-BD21-7EC45690A23B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32682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E7FB849D-303F-416A-9542-4DBAED6AF78C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23156"/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32E6F727-0B0D-456E-9045-9AE054DEFCEE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100</xdr:row>
      <xdr:rowOff>0</xdr:rowOff>
    </xdr:from>
    <xdr:ext cx="85725" cy="223156"/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8BC714A7-5784-4C6E-89DC-4F2334DABF99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93</xdr:row>
      <xdr:rowOff>0</xdr:rowOff>
    </xdr:from>
    <xdr:ext cx="85725" cy="219075"/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0E21923A-4959-40CB-8D0B-CC2BABB6AF00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32682"/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762CD90A-7611-4EAC-A3E1-D5553EB6FE41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23156"/>
    <xdr:sp macro="" textlink="">
      <xdr:nvSpPr>
        <xdr:cNvPr id="48" name="AutoShape 3">
          <a:extLst>
            <a:ext uri="{FF2B5EF4-FFF2-40B4-BE49-F238E27FC236}">
              <a16:creationId xmlns:a16="http://schemas.microsoft.com/office/drawing/2014/main" id="{6EB1BCD5-6FF0-40AF-B986-F18D4A5F71C6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100</xdr:row>
      <xdr:rowOff>0</xdr:rowOff>
    </xdr:from>
    <xdr:ext cx="85725" cy="223156"/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554D9493-DCF5-49C4-A083-E3B0223DC857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93</xdr:row>
      <xdr:rowOff>0</xdr:rowOff>
    </xdr:from>
    <xdr:ext cx="85725" cy="219075"/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40D8AA25-D6E1-4A48-A6BC-B7742D89D720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32682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CAC445AF-DEF5-46E1-8FF9-D015D47DA13F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95</xdr:row>
      <xdr:rowOff>0</xdr:rowOff>
    </xdr:from>
    <xdr:ext cx="85725" cy="223156"/>
    <xdr:sp macro="" textlink="">
      <xdr:nvSpPr>
        <xdr:cNvPr id="52" name="AutoShape 3">
          <a:extLst>
            <a:ext uri="{FF2B5EF4-FFF2-40B4-BE49-F238E27FC236}">
              <a16:creationId xmlns:a16="http://schemas.microsoft.com/office/drawing/2014/main" id="{BF58A8C2-398F-41F5-9E2C-32694109762E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100</xdr:row>
      <xdr:rowOff>0</xdr:rowOff>
    </xdr:from>
    <xdr:ext cx="85725" cy="223156"/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FC06C515-BC46-40FE-9AB3-0B293F57C810}"/>
            </a:ext>
          </a:extLst>
        </xdr:cNvPr>
        <xdr:cNvSpPr>
          <a:spLocks noChangeAspect="1" noChangeArrowheads="1"/>
        </xdr:cNvSpPr>
      </xdr:nvSpPr>
      <xdr:spPr bwMode="auto">
        <a:xfrm>
          <a:off x="17839765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32682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8AB44EF8-49F5-413E-8351-A10330D78828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23156"/>
    <xdr:sp macro="" textlink="">
      <xdr:nvSpPr>
        <xdr:cNvPr id="56" name="AutoShape 3">
          <a:extLst>
            <a:ext uri="{FF2B5EF4-FFF2-40B4-BE49-F238E27FC236}">
              <a16:creationId xmlns:a16="http://schemas.microsoft.com/office/drawing/2014/main" id="{23336339-D1CC-4696-9A9B-899F1958670F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100</xdr:row>
      <xdr:rowOff>0</xdr:rowOff>
    </xdr:from>
    <xdr:ext cx="85725" cy="223156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B36BAAD7-C551-4A31-AF8C-512011EABCB4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93</xdr:row>
      <xdr:rowOff>0</xdr:rowOff>
    </xdr:from>
    <xdr:ext cx="85725" cy="219075"/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96D2E9EA-52C4-4F93-BDCF-CB13E6C1DD97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32682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FF50E801-63BC-4BD0-BA97-3B18D92D27DE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23156"/>
    <xdr:sp macro="" textlink="">
      <xdr:nvSpPr>
        <xdr:cNvPr id="60" name="AutoShape 3">
          <a:extLst>
            <a:ext uri="{FF2B5EF4-FFF2-40B4-BE49-F238E27FC236}">
              <a16:creationId xmlns:a16="http://schemas.microsoft.com/office/drawing/2014/main" id="{E9BBD9A0-7E74-46BE-9E27-ED83B9DC4846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100</xdr:row>
      <xdr:rowOff>0</xdr:rowOff>
    </xdr:from>
    <xdr:ext cx="85725" cy="223156"/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8E03E4B6-0F1A-4CD6-A91B-809B908BCAC6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93</xdr:row>
      <xdr:rowOff>0</xdr:rowOff>
    </xdr:from>
    <xdr:ext cx="85725" cy="219075"/>
    <xdr:sp macro="" textlink="">
      <xdr:nvSpPr>
        <xdr:cNvPr id="62" name="AutoShape 5">
          <a:extLst>
            <a:ext uri="{FF2B5EF4-FFF2-40B4-BE49-F238E27FC236}">
              <a16:creationId xmlns:a16="http://schemas.microsoft.com/office/drawing/2014/main" id="{E168DF66-071A-4E79-BCC0-8F0AEEC89F60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32682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8CA58A98-ADAB-46DC-B548-C5A2006562CD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23156"/>
    <xdr:sp macro="" textlink="">
      <xdr:nvSpPr>
        <xdr:cNvPr id="64" name="AutoShape 3">
          <a:extLst>
            <a:ext uri="{FF2B5EF4-FFF2-40B4-BE49-F238E27FC236}">
              <a16:creationId xmlns:a16="http://schemas.microsoft.com/office/drawing/2014/main" id="{20C3A226-603A-46D6-81B4-A1C5C601412E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100</xdr:row>
      <xdr:rowOff>0</xdr:rowOff>
    </xdr:from>
    <xdr:ext cx="85725" cy="223156"/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5C7C00FB-4D02-412F-9A1D-3DD784650602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93</xdr:row>
      <xdr:rowOff>0</xdr:rowOff>
    </xdr:from>
    <xdr:ext cx="85725" cy="219075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045E317F-ABCF-4036-B296-B113BA0ABB78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32682"/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25CDE70D-5E40-484C-AD97-93705FCC8F62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620824"/>
          <a:ext cx="85725" cy="232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95</xdr:row>
      <xdr:rowOff>0</xdr:rowOff>
    </xdr:from>
    <xdr:ext cx="85725" cy="223156"/>
    <xdr:sp macro="" textlink="">
      <xdr:nvSpPr>
        <xdr:cNvPr id="68" name="AutoShape 3">
          <a:extLst>
            <a:ext uri="{FF2B5EF4-FFF2-40B4-BE49-F238E27FC236}">
              <a16:creationId xmlns:a16="http://schemas.microsoft.com/office/drawing/2014/main" id="{74E3CA09-02A0-4FBD-B5B0-A7D63C6AD9F3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68113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100</xdr:row>
      <xdr:rowOff>0</xdr:rowOff>
    </xdr:from>
    <xdr:ext cx="85725" cy="223156"/>
    <xdr:sp macro="" textlink="">
      <xdr:nvSpPr>
        <xdr:cNvPr id="69" name="AutoShape 4">
          <a:extLst>
            <a:ext uri="{FF2B5EF4-FFF2-40B4-BE49-F238E27FC236}">
              <a16:creationId xmlns:a16="http://schemas.microsoft.com/office/drawing/2014/main" id="{B53F71FA-BC69-4E64-A58C-3A62F4C85FB2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7763824"/>
          <a:ext cx="85725" cy="2231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93</xdr:row>
      <xdr:rowOff>0</xdr:rowOff>
    </xdr:from>
    <xdr:ext cx="85725" cy="219075"/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6F8D0D07-C159-41BF-825B-4F3DA53919F0}"/>
            </a:ext>
          </a:extLst>
        </xdr:cNvPr>
        <xdr:cNvSpPr>
          <a:spLocks noChangeAspect="1" noChangeArrowheads="1"/>
        </xdr:cNvSpPr>
      </xdr:nvSpPr>
      <xdr:spPr bwMode="auto">
        <a:xfrm>
          <a:off x="19755971" y="34088294"/>
          <a:ext cx="857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cntd.ru/document/35113904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45"/>
  <sheetViews>
    <sheetView workbookViewId="0">
      <selection activeCell="C13" sqref="C13"/>
    </sheetView>
  </sheetViews>
  <sheetFormatPr defaultRowHeight="15"/>
  <cols>
    <col min="1" max="1" width="32.140625" customWidth="1"/>
    <col min="3" max="3" width="12.42578125" customWidth="1"/>
    <col min="4" max="4" width="15" customWidth="1"/>
  </cols>
  <sheetData>
    <row r="1" spans="1:8">
      <c r="C1" t="s">
        <v>0</v>
      </c>
    </row>
    <row r="2" spans="1:8">
      <c r="B2" s="212" t="s">
        <v>7</v>
      </c>
      <c r="C2" s="213"/>
      <c r="D2" s="214"/>
      <c r="F2" s="212" t="s">
        <v>8</v>
      </c>
      <c r="G2" s="213"/>
      <c r="H2" s="214"/>
    </row>
    <row r="3" spans="1:8">
      <c r="B3" t="s">
        <v>2</v>
      </c>
      <c r="C3" t="s">
        <v>3</v>
      </c>
      <c r="D3" t="s">
        <v>1</v>
      </c>
      <c r="F3" t="s">
        <v>4</v>
      </c>
      <c r="G3" t="s">
        <v>5</v>
      </c>
      <c r="H3" t="s">
        <v>6</v>
      </c>
    </row>
    <row r="4" spans="1:8">
      <c r="A4" t="s">
        <v>10</v>
      </c>
      <c r="B4">
        <v>0</v>
      </c>
      <c r="C4">
        <v>10</v>
      </c>
      <c r="D4">
        <v>10</v>
      </c>
      <c r="F4">
        <v>0</v>
      </c>
      <c r="G4" s="1">
        <f>F4+(C4-B4)*(H4-F4)/(D4-B4)</f>
        <v>3.5</v>
      </c>
      <c r="H4">
        <v>3.5</v>
      </c>
    </row>
    <row r="5" spans="1:8">
      <c r="A5" t="s">
        <v>10</v>
      </c>
      <c r="B5">
        <v>10</v>
      </c>
      <c r="C5">
        <v>12</v>
      </c>
      <c r="D5">
        <v>20</v>
      </c>
      <c r="F5">
        <v>3.5</v>
      </c>
      <c r="G5" s="1">
        <f>F5+(C5-B5)*(H5-F5)/(D5-B5)</f>
        <v>3.8</v>
      </c>
      <c r="H5">
        <v>5</v>
      </c>
    </row>
    <row r="6" spans="1:8">
      <c r="A6" t="s">
        <v>10</v>
      </c>
      <c r="B6">
        <v>20</v>
      </c>
      <c r="C6">
        <v>37.799999999999997</v>
      </c>
      <c r="D6">
        <v>70</v>
      </c>
      <c r="F6">
        <v>5</v>
      </c>
      <c r="G6" s="1">
        <f>F6+(C6-B6)*(H6-F6)/(D6-B6)</f>
        <v>5.7119999999999997</v>
      </c>
      <c r="H6">
        <v>7</v>
      </c>
    </row>
    <row r="7" spans="1:8">
      <c r="A7" t="s">
        <v>9</v>
      </c>
      <c r="B7">
        <v>10</v>
      </c>
      <c r="C7">
        <v>10</v>
      </c>
      <c r="D7">
        <v>20</v>
      </c>
      <c r="F7">
        <v>4</v>
      </c>
      <c r="G7" s="1">
        <f>F7+(C7-B7)*(H7-F7)/(D7-B7)</f>
        <v>4</v>
      </c>
      <c r="H7">
        <v>7</v>
      </c>
    </row>
    <row r="8" spans="1:8">
      <c r="A8" t="s">
        <v>9</v>
      </c>
      <c r="B8">
        <v>20</v>
      </c>
      <c r="C8">
        <v>36</v>
      </c>
      <c r="D8">
        <v>70</v>
      </c>
      <c r="F8">
        <v>7</v>
      </c>
      <c r="G8" s="1">
        <f>F8+(C8-B8)*(H8-F8)/(D8-B8)</f>
        <v>7.96</v>
      </c>
      <c r="H8">
        <v>10</v>
      </c>
    </row>
    <row r="10" spans="1:8">
      <c r="A10" t="s">
        <v>11</v>
      </c>
      <c r="C10" s="2" t="s">
        <v>12</v>
      </c>
      <c r="D10" s="3">
        <v>10</v>
      </c>
      <c r="G10" s="1">
        <v>10</v>
      </c>
    </row>
    <row r="11" spans="1:8">
      <c r="A11" t="s">
        <v>11</v>
      </c>
      <c r="B11">
        <v>10</v>
      </c>
      <c r="C11">
        <v>30</v>
      </c>
      <c r="D11">
        <v>50</v>
      </c>
      <c r="F11">
        <v>10</v>
      </c>
      <c r="G11" s="1">
        <f t="shared" ref="G11:G16" si="0">F11+(C11-B11)*(H11-F11)/(D11-B11)</f>
        <v>12.5</v>
      </c>
      <c r="H11">
        <v>15</v>
      </c>
    </row>
    <row r="12" spans="1:8">
      <c r="A12" t="s">
        <v>11</v>
      </c>
      <c r="B12">
        <v>10</v>
      </c>
      <c r="C12">
        <v>36</v>
      </c>
      <c r="D12">
        <v>50</v>
      </c>
      <c r="F12">
        <v>10</v>
      </c>
      <c r="G12" s="1">
        <f t="shared" si="0"/>
        <v>13.25</v>
      </c>
      <c r="H12">
        <v>15</v>
      </c>
    </row>
    <row r="13" spans="1:8">
      <c r="A13" t="s">
        <v>11</v>
      </c>
      <c r="B13">
        <v>50</v>
      </c>
      <c r="C13">
        <v>60</v>
      </c>
      <c r="D13">
        <v>100</v>
      </c>
      <c r="F13">
        <v>15</v>
      </c>
      <c r="G13" s="1">
        <f t="shared" si="0"/>
        <v>17</v>
      </c>
      <c r="H13">
        <v>25</v>
      </c>
    </row>
    <row r="14" spans="1:8" ht="14.25" customHeight="1">
      <c r="A14" t="s">
        <v>11</v>
      </c>
      <c r="B14">
        <v>100</v>
      </c>
      <c r="C14">
        <v>134</v>
      </c>
      <c r="D14">
        <v>300</v>
      </c>
      <c r="F14">
        <v>25</v>
      </c>
      <c r="G14" s="1">
        <f t="shared" si="0"/>
        <v>26.7</v>
      </c>
      <c r="H14">
        <v>35</v>
      </c>
    </row>
    <row r="15" spans="1:8" ht="14.25" customHeight="1">
      <c r="A15" t="s">
        <v>11</v>
      </c>
      <c r="B15">
        <v>100</v>
      </c>
      <c r="C15">
        <v>234</v>
      </c>
      <c r="D15">
        <v>300</v>
      </c>
      <c r="F15">
        <v>25</v>
      </c>
      <c r="G15" s="1">
        <f t="shared" si="0"/>
        <v>31.7</v>
      </c>
      <c r="H15">
        <v>35</v>
      </c>
    </row>
    <row r="16" spans="1:8" ht="14.25" customHeight="1">
      <c r="A16" t="s">
        <v>11</v>
      </c>
      <c r="B16">
        <v>100</v>
      </c>
      <c r="C16">
        <v>255</v>
      </c>
      <c r="D16">
        <v>300</v>
      </c>
      <c r="F16">
        <v>25</v>
      </c>
      <c r="G16" s="1">
        <f t="shared" si="0"/>
        <v>32.75</v>
      </c>
      <c r="H16">
        <v>35</v>
      </c>
    </row>
    <row r="17" spans="1:7">
      <c r="A17" t="s">
        <v>11</v>
      </c>
      <c r="B17">
        <v>300</v>
      </c>
      <c r="C17" s="3" t="s">
        <v>13</v>
      </c>
      <c r="G17" s="1">
        <v>50</v>
      </c>
    </row>
    <row r="20" spans="1:7">
      <c r="B20">
        <v>2</v>
      </c>
      <c r="C20">
        <v>10</v>
      </c>
      <c r="G20" s="1"/>
    </row>
    <row r="21" spans="1:7">
      <c r="B21">
        <v>3.6</v>
      </c>
      <c r="C21">
        <v>2.5</v>
      </c>
      <c r="G21" s="1"/>
    </row>
    <row r="22" spans="1:7">
      <c r="G22" s="1"/>
    </row>
    <row r="23" spans="1:7">
      <c r="C23">
        <f>B21*B20+C21*C20</f>
        <v>32.200000000000003</v>
      </c>
      <c r="E23">
        <f>C25+C20+B20</f>
        <v>24.880000000000003</v>
      </c>
      <c r="G23" s="1"/>
    </row>
    <row r="24" spans="1:7">
      <c r="G24" s="1"/>
    </row>
    <row r="25" spans="1:7">
      <c r="C25">
        <f>C23/C26</f>
        <v>12.88</v>
      </c>
      <c r="G25" s="1"/>
    </row>
    <row r="26" spans="1:7">
      <c r="C26">
        <v>2.5</v>
      </c>
      <c r="G26" s="1"/>
    </row>
    <row r="27" spans="1:7">
      <c r="E27">
        <f>30*2.5</f>
        <v>75</v>
      </c>
      <c r="G27" s="1"/>
    </row>
    <row r="28" spans="1:7">
      <c r="G28" s="1"/>
    </row>
    <row r="29" spans="1:7">
      <c r="G29" s="1"/>
    </row>
    <row r="30" spans="1:7">
      <c r="G30" s="1"/>
    </row>
    <row r="31" spans="1:7">
      <c r="G31" s="1"/>
    </row>
    <row r="32" spans="1:7">
      <c r="D32">
        <v>10</v>
      </c>
      <c r="E32">
        <v>10</v>
      </c>
    </row>
    <row r="33" spans="1:8">
      <c r="D33">
        <f>(D32^2+E32^2)/((E32+D32)^(0.5))</f>
        <v>44.721359549995789</v>
      </c>
    </row>
    <row r="35" spans="1:8">
      <c r="A35" t="s">
        <v>14</v>
      </c>
      <c r="C35" s="2" t="s">
        <v>12</v>
      </c>
      <c r="D35" s="3">
        <v>10</v>
      </c>
      <c r="G35" s="1">
        <v>25</v>
      </c>
    </row>
    <row r="36" spans="1:8">
      <c r="A36" t="s">
        <v>14</v>
      </c>
      <c r="B36">
        <v>10</v>
      </c>
      <c r="C36">
        <v>12</v>
      </c>
      <c r="D36">
        <v>50</v>
      </c>
      <c r="F36">
        <v>25</v>
      </c>
      <c r="G36" s="1">
        <f>F36+(C36-B36)*(H36-F36)/(D36-B36)</f>
        <v>26.25</v>
      </c>
      <c r="H36">
        <v>50</v>
      </c>
    </row>
    <row r="37" spans="1:8">
      <c r="A37" t="s">
        <v>14</v>
      </c>
      <c r="B37">
        <v>10</v>
      </c>
      <c r="C37">
        <v>23</v>
      </c>
      <c r="D37">
        <v>50</v>
      </c>
      <c r="G37" s="1">
        <v>50</v>
      </c>
    </row>
    <row r="38" spans="1:8">
      <c r="A38" t="s">
        <v>14</v>
      </c>
      <c r="C38" t="s">
        <v>13</v>
      </c>
      <c r="D38">
        <v>50</v>
      </c>
      <c r="G38" s="1">
        <v>50</v>
      </c>
    </row>
    <row r="39" spans="1:8">
      <c r="A39" t="s">
        <v>14</v>
      </c>
      <c r="C39" t="s">
        <v>13</v>
      </c>
      <c r="D39">
        <v>100</v>
      </c>
      <c r="G39" s="1">
        <v>50</v>
      </c>
    </row>
    <row r="40" spans="1:8">
      <c r="G40" s="1"/>
    </row>
    <row r="41" spans="1:8">
      <c r="G41" s="1"/>
    </row>
    <row r="42" spans="1:8">
      <c r="C42" s="3"/>
      <c r="G42" s="1"/>
    </row>
    <row r="45" spans="1:8">
      <c r="A45" t="s">
        <v>79</v>
      </c>
      <c r="C45" s="23">
        <v>44</v>
      </c>
      <c r="D45" s="23">
        <f>IF(C45&lt;100,ROUNDUP(C45*0.05,0.1),IF(C45&lt;200,5+ROUNDUP((C45-100)*0.03,0.1),IF(C45&lt;500,8+ROUNDUP((C45-200)*0.02,0.1),IF(C45+500,14+ROUNDUP((C45-500)*0.01,0.1)))))</f>
        <v>3</v>
      </c>
    </row>
  </sheetData>
  <mergeCells count="2">
    <mergeCell ref="F2:H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727D-7BC1-46ED-9C0E-5EB44AF99327}">
  <dimension ref="A1:Q171"/>
  <sheetViews>
    <sheetView topLeftCell="A139" zoomScale="70" zoomScaleNormal="70" workbookViewId="0">
      <selection activeCell="B148" sqref="B148"/>
    </sheetView>
  </sheetViews>
  <sheetFormatPr defaultRowHeight="15"/>
  <cols>
    <col min="2" max="2" width="54.7109375" customWidth="1"/>
    <col min="3" max="3" width="34.5703125" customWidth="1"/>
    <col min="4" max="4" width="18.5703125" customWidth="1"/>
    <col min="9" max="9" width="22.28515625" customWidth="1"/>
    <col min="12" max="12" width="13.85546875" customWidth="1"/>
  </cols>
  <sheetData>
    <row r="1" spans="1:10" ht="37.5" customHeight="1">
      <c r="A1" s="215" t="s">
        <v>595</v>
      </c>
      <c r="B1" s="216"/>
      <c r="C1" s="216"/>
      <c r="D1" s="217"/>
    </row>
    <row r="2" spans="1:10" ht="55.5" customHeight="1">
      <c r="A2" s="91" t="s">
        <v>594</v>
      </c>
      <c r="B2" s="90" t="s">
        <v>442</v>
      </c>
      <c r="C2" s="89" t="s">
        <v>593</v>
      </c>
      <c r="D2" s="93" t="s">
        <v>671</v>
      </c>
      <c r="I2" s="91" t="s">
        <v>593</v>
      </c>
      <c r="J2">
        <v>1</v>
      </c>
    </row>
    <row r="3" spans="1:10" ht="15.75">
      <c r="A3" s="92">
        <v>1</v>
      </c>
      <c r="B3" s="92">
        <v>2</v>
      </c>
      <c r="C3" s="92">
        <v>3</v>
      </c>
      <c r="D3" s="93">
        <v>4</v>
      </c>
      <c r="I3" s="88" t="s">
        <v>440</v>
      </c>
      <c r="J3">
        <v>0</v>
      </c>
    </row>
    <row r="4" spans="1:10">
      <c r="A4" s="179">
        <v>1</v>
      </c>
      <c r="B4" s="180" t="s">
        <v>592</v>
      </c>
      <c r="C4" s="181">
        <v>0.7</v>
      </c>
      <c r="D4" s="182">
        <f>C4</f>
        <v>0.7</v>
      </c>
    </row>
    <row r="5" spans="1:10">
      <c r="A5" s="180">
        <v>2</v>
      </c>
      <c r="B5" s="180" t="s">
        <v>591</v>
      </c>
      <c r="C5" s="181">
        <v>0.5</v>
      </c>
      <c r="D5" s="182">
        <f t="shared" ref="D5:D9" si="0">C5</f>
        <v>0.5</v>
      </c>
    </row>
    <row r="6" spans="1:10">
      <c r="A6" s="180">
        <v>3</v>
      </c>
      <c r="B6" s="180" t="s">
        <v>590</v>
      </c>
      <c r="C6" s="181">
        <v>0.9</v>
      </c>
      <c r="D6" s="182">
        <f t="shared" si="0"/>
        <v>0.9</v>
      </c>
    </row>
    <row r="7" spans="1:10">
      <c r="A7" s="180">
        <v>4</v>
      </c>
      <c r="B7" s="180" t="s">
        <v>589</v>
      </c>
      <c r="C7" s="181">
        <v>0.2</v>
      </c>
      <c r="D7" s="182">
        <f t="shared" si="0"/>
        <v>0.2</v>
      </c>
    </row>
    <row r="8" spans="1:10">
      <c r="A8" s="180">
        <v>5</v>
      </c>
      <c r="B8" s="180" t="s">
        <v>588</v>
      </c>
      <c r="C8" s="181">
        <v>0.5</v>
      </c>
      <c r="D8" s="182">
        <f t="shared" si="0"/>
        <v>0.5</v>
      </c>
    </row>
    <row r="9" spans="1:10">
      <c r="A9" s="180">
        <v>6</v>
      </c>
      <c r="B9" s="180" t="s">
        <v>587</v>
      </c>
      <c r="C9" s="181">
        <v>0.9</v>
      </c>
      <c r="D9" s="182">
        <f t="shared" si="0"/>
        <v>0.9</v>
      </c>
    </row>
    <row r="10" spans="1:10">
      <c r="A10" s="180">
        <v>7</v>
      </c>
      <c r="B10" s="180" t="s">
        <v>586</v>
      </c>
      <c r="C10" s="181">
        <v>0.2</v>
      </c>
      <c r="D10" s="181">
        <v>0.5</v>
      </c>
    </row>
    <row r="11" spans="1:10">
      <c r="A11" s="180">
        <v>8</v>
      </c>
      <c r="B11" s="180" t="s">
        <v>585</v>
      </c>
      <c r="C11" s="181">
        <v>0.2</v>
      </c>
      <c r="D11" s="181">
        <v>0.5</v>
      </c>
    </row>
    <row r="12" spans="1:10">
      <c r="A12" s="180">
        <v>9</v>
      </c>
      <c r="B12" s="180" t="s">
        <v>584</v>
      </c>
      <c r="C12" s="181">
        <v>0.9</v>
      </c>
      <c r="D12" s="182">
        <f t="shared" ref="D12:D32" si="1">C12</f>
        <v>0.9</v>
      </c>
    </row>
    <row r="13" spans="1:10">
      <c r="A13" s="180">
        <v>10</v>
      </c>
      <c r="B13" s="180" t="s">
        <v>583</v>
      </c>
      <c r="C13" s="181">
        <v>0.9</v>
      </c>
      <c r="D13" s="182">
        <f t="shared" si="1"/>
        <v>0.9</v>
      </c>
    </row>
    <row r="14" spans="1:10">
      <c r="A14" s="180">
        <v>11</v>
      </c>
      <c r="B14" s="180" t="s">
        <v>582</v>
      </c>
      <c r="C14" s="181">
        <v>0.9</v>
      </c>
      <c r="D14" s="182">
        <f t="shared" si="1"/>
        <v>0.9</v>
      </c>
    </row>
    <row r="15" spans="1:10">
      <c r="A15" s="180">
        <v>12</v>
      </c>
      <c r="B15" s="180" t="s">
        <v>581</v>
      </c>
      <c r="C15" s="181">
        <v>0.9</v>
      </c>
      <c r="D15" s="182">
        <f t="shared" si="1"/>
        <v>0.9</v>
      </c>
    </row>
    <row r="16" spans="1:10">
      <c r="A16" s="180">
        <v>13</v>
      </c>
      <c r="B16" s="180" t="s">
        <v>580</v>
      </c>
      <c r="C16" s="181">
        <v>0.9</v>
      </c>
      <c r="D16" s="182">
        <f t="shared" si="1"/>
        <v>0.9</v>
      </c>
    </row>
    <row r="17" spans="1:4">
      <c r="A17" s="180">
        <v>14</v>
      </c>
      <c r="B17" s="180" t="s">
        <v>579</v>
      </c>
      <c r="C17" s="181">
        <v>0.9</v>
      </c>
      <c r="D17" s="182">
        <f t="shared" si="1"/>
        <v>0.9</v>
      </c>
    </row>
    <row r="18" spans="1:4">
      <c r="A18" s="180">
        <v>15</v>
      </c>
      <c r="B18" s="180" t="s">
        <v>578</v>
      </c>
      <c r="C18" s="181">
        <v>0.9</v>
      </c>
      <c r="D18" s="182">
        <f t="shared" si="1"/>
        <v>0.9</v>
      </c>
    </row>
    <row r="19" spans="1:4">
      <c r="A19" s="180">
        <v>16</v>
      </c>
      <c r="B19" s="180" t="s">
        <v>577</v>
      </c>
      <c r="C19" s="181">
        <v>0.9</v>
      </c>
      <c r="D19" s="182">
        <f t="shared" si="1"/>
        <v>0.9</v>
      </c>
    </row>
    <row r="20" spans="1:4">
      <c r="A20" s="180">
        <v>17</v>
      </c>
      <c r="B20" s="180" t="s">
        <v>576</v>
      </c>
      <c r="C20" s="181">
        <v>0.9</v>
      </c>
      <c r="D20" s="182">
        <f t="shared" si="1"/>
        <v>0.9</v>
      </c>
    </row>
    <row r="21" spans="1:4">
      <c r="A21" s="180">
        <v>18</v>
      </c>
      <c r="B21" s="180" t="s">
        <v>575</v>
      </c>
      <c r="C21" s="181">
        <v>0.5</v>
      </c>
      <c r="D21" s="182">
        <f t="shared" si="1"/>
        <v>0.5</v>
      </c>
    </row>
    <row r="22" spans="1:4">
      <c r="A22" s="180">
        <v>19</v>
      </c>
      <c r="B22" s="180" t="s">
        <v>574</v>
      </c>
      <c r="C22" s="181">
        <v>0.9</v>
      </c>
      <c r="D22" s="182">
        <f t="shared" si="1"/>
        <v>0.9</v>
      </c>
    </row>
    <row r="23" spans="1:4">
      <c r="A23" s="180">
        <v>20</v>
      </c>
      <c r="B23" s="180" t="s">
        <v>573</v>
      </c>
      <c r="C23" s="181">
        <v>0.7</v>
      </c>
      <c r="D23" s="182">
        <f t="shared" si="1"/>
        <v>0.7</v>
      </c>
    </row>
    <row r="24" spans="1:4">
      <c r="A24" s="180">
        <v>21</v>
      </c>
      <c r="B24" s="180" t="s">
        <v>572</v>
      </c>
      <c r="C24" s="181">
        <v>0.5</v>
      </c>
      <c r="D24" s="182">
        <f t="shared" si="1"/>
        <v>0.5</v>
      </c>
    </row>
    <row r="25" spans="1:4">
      <c r="A25" s="180">
        <v>22</v>
      </c>
      <c r="B25" s="180" t="s">
        <v>571</v>
      </c>
      <c r="C25" s="181">
        <v>0.9</v>
      </c>
      <c r="D25" s="182">
        <f t="shared" si="1"/>
        <v>0.9</v>
      </c>
    </row>
    <row r="26" spans="1:4">
      <c r="A26" s="180">
        <v>23</v>
      </c>
      <c r="B26" s="180" t="s">
        <v>570</v>
      </c>
      <c r="C26" s="181">
        <v>0.9</v>
      </c>
      <c r="D26" s="182">
        <f t="shared" si="1"/>
        <v>0.9</v>
      </c>
    </row>
    <row r="27" spans="1:4">
      <c r="A27" s="180">
        <v>24</v>
      </c>
      <c r="B27" s="180" t="s">
        <v>569</v>
      </c>
      <c r="C27" s="181">
        <v>0.9</v>
      </c>
      <c r="D27" s="182">
        <f t="shared" si="1"/>
        <v>0.9</v>
      </c>
    </row>
    <row r="28" spans="1:4">
      <c r="A28" s="180">
        <v>25</v>
      </c>
      <c r="B28" s="180" t="s">
        <v>568</v>
      </c>
      <c r="C28" s="181">
        <v>0.9</v>
      </c>
      <c r="D28" s="182">
        <f t="shared" si="1"/>
        <v>0.9</v>
      </c>
    </row>
    <row r="29" spans="1:4">
      <c r="A29" s="180">
        <v>26</v>
      </c>
      <c r="B29" s="180" t="s">
        <v>567</v>
      </c>
      <c r="C29" s="181">
        <v>0.9</v>
      </c>
      <c r="D29" s="182">
        <f t="shared" si="1"/>
        <v>0.9</v>
      </c>
    </row>
    <row r="30" spans="1:4">
      <c r="A30" s="180">
        <v>27</v>
      </c>
      <c r="B30" s="180" t="s">
        <v>566</v>
      </c>
      <c r="C30" s="181">
        <v>0.5</v>
      </c>
      <c r="D30" s="182">
        <f t="shared" si="1"/>
        <v>0.5</v>
      </c>
    </row>
    <row r="31" spans="1:4">
      <c r="A31" s="180">
        <v>28</v>
      </c>
      <c r="B31" s="180" t="s">
        <v>565</v>
      </c>
      <c r="C31" s="181">
        <v>0.7</v>
      </c>
      <c r="D31" s="182">
        <f t="shared" si="1"/>
        <v>0.7</v>
      </c>
    </row>
    <row r="32" spans="1:4">
      <c r="A32" s="180">
        <v>29</v>
      </c>
      <c r="B32" s="180" t="s">
        <v>564</v>
      </c>
      <c r="C32" s="181">
        <v>0.9</v>
      </c>
      <c r="D32" s="182">
        <f t="shared" si="1"/>
        <v>0.9</v>
      </c>
    </row>
    <row r="33" spans="1:4">
      <c r="A33" s="180">
        <v>30</v>
      </c>
      <c r="B33" s="180" t="s">
        <v>563</v>
      </c>
      <c r="C33" s="181">
        <v>0.2</v>
      </c>
      <c r="D33" s="181">
        <v>0.5</v>
      </c>
    </row>
    <row r="34" spans="1:4">
      <c r="A34" s="180">
        <v>31</v>
      </c>
      <c r="B34" s="180" t="s">
        <v>562</v>
      </c>
      <c r="C34" s="181">
        <v>0.9</v>
      </c>
      <c r="D34" s="182">
        <f t="shared" ref="D34" si="2">C34</f>
        <v>0.9</v>
      </c>
    </row>
    <row r="35" spans="1:4">
      <c r="A35" s="180">
        <v>32</v>
      </c>
      <c r="B35" s="180" t="s">
        <v>561</v>
      </c>
      <c r="C35" s="181">
        <v>0.2</v>
      </c>
      <c r="D35" s="181">
        <v>0.5</v>
      </c>
    </row>
    <row r="36" spans="1:4">
      <c r="A36" s="180">
        <v>33</v>
      </c>
      <c r="B36" s="180" t="s">
        <v>560</v>
      </c>
      <c r="C36" s="181">
        <v>0.2</v>
      </c>
      <c r="D36" s="181">
        <v>0.5</v>
      </c>
    </row>
    <row r="37" spans="1:4">
      <c r="A37" s="180">
        <v>34</v>
      </c>
      <c r="B37" s="180" t="s">
        <v>559</v>
      </c>
      <c r="C37" s="181">
        <v>0.2</v>
      </c>
      <c r="D37" s="182">
        <f t="shared" ref="D37:D49" si="3">C37</f>
        <v>0.2</v>
      </c>
    </row>
    <row r="38" spans="1:4">
      <c r="A38" s="180">
        <v>35</v>
      </c>
      <c r="B38" s="180" t="s">
        <v>558</v>
      </c>
      <c r="C38" s="181">
        <v>0.9</v>
      </c>
      <c r="D38" s="182">
        <f t="shared" si="3"/>
        <v>0.9</v>
      </c>
    </row>
    <row r="39" spans="1:4">
      <c r="A39" s="180">
        <v>36</v>
      </c>
      <c r="B39" s="180" t="s">
        <v>557</v>
      </c>
      <c r="C39" s="181">
        <v>0.9</v>
      </c>
      <c r="D39" s="182">
        <f t="shared" si="3"/>
        <v>0.9</v>
      </c>
    </row>
    <row r="40" spans="1:4">
      <c r="A40" s="180">
        <v>37</v>
      </c>
      <c r="B40" s="180" t="s">
        <v>556</v>
      </c>
      <c r="C40" s="181">
        <v>0.9</v>
      </c>
      <c r="D40" s="182">
        <f t="shared" si="3"/>
        <v>0.9</v>
      </c>
    </row>
    <row r="41" spans="1:4">
      <c r="A41" s="180">
        <v>38</v>
      </c>
      <c r="B41" s="180" t="s">
        <v>555</v>
      </c>
      <c r="C41" s="181">
        <v>0.9</v>
      </c>
      <c r="D41" s="182">
        <f t="shared" si="3"/>
        <v>0.9</v>
      </c>
    </row>
    <row r="42" spans="1:4">
      <c r="A42" s="180">
        <v>39</v>
      </c>
      <c r="B42" s="180" t="s">
        <v>554</v>
      </c>
      <c r="C42" s="181">
        <v>0.9</v>
      </c>
      <c r="D42" s="182">
        <f t="shared" si="3"/>
        <v>0.9</v>
      </c>
    </row>
    <row r="43" spans="1:4">
      <c r="A43" s="180">
        <v>40</v>
      </c>
      <c r="B43" s="180" t="s">
        <v>553</v>
      </c>
      <c r="C43" s="181">
        <v>0.9</v>
      </c>
      <c r="D43" s="182">
        <f t="shared" si="3"/>
        <v>0.9</v>
      </c>
    </row>
    <row r="44" spans="1:4">
      <c r="A44" s="180">
        <v>41</v>
      </c>
      <c r="B44" s="180" t="s">
        <v>552</v>
      </c>
      <c r="C44" s="181">
        <v>0.7</v>
      </c>
      <c r="D44" s="182">
        <f t="shared" si="3"/>
        <v>0.7</v>
      </c>
    </row>
    <row r="45" spans="1:4">
      <c r="A45" s="180">
        <v>42</v>
      </c>
      <c r="B45" s="180" t="s">
        <v>551</v>
      </c>
      <c r="C45" s="181">
        <v>0.7</v>
      </c>
      <c r="D45" s="182">
        <f t="shared" si="3"/>
        <v>0.7</v>
      </c>
    </row>
    <row r="46" spans="1:4">
      <c r="A46" s="180">
        <v>43</v>
      </c>
      <c r="B46" s="180" t="s">
        <v>550</v>
      </c>
      <c r="C46" s="181">
        <v>0.9</v>
      </c>
      <c r="D46" s="182">
        <f t="shared" si="3"/>
        <v>0.9</v>
      </c>
    </row>
    <row r="47" spans="1:4">
      <c r="A47" s="180">
        <v>44</v>
      </c>
      <c r="B47" s="180" t="s">
        <v>549</v>
      </c>
      <c r="C47" s="181">
        <v>0.9</v>
      </c>
      <c r="D47" s="182">
        <f t="shared" si="3"/>
        <v>0.9</v>
      </c>
    </row>
    <row r="48" spans="1:4">
      <c r="A48" s="180">
        <v>45</v>
      </c>
      <c r="B48" s="180" t="s">
        <v>548</v>
      </c>
      <c r="C48" s="181">
        <v>0.9</v>
      </c>
      <c r="D48" s="182">
        <f t="shared" si="3"/>
        <v>0.9</v>
      </c>
    </row>
    <row r="49" spans="1:4">
      <c r="A49" s="180">
        <v>46</v>
      </c>
      <c r="B49" s="180" t="s">
        <v>547</v>
      </c>
      <c r="C49" s="181">
        <v>0.9</v>
      </c>
      <c r="D49" s="182">
        <f t="shared" si="3"/>
        <v>0.9</v>
      </c>
    </row>
    <row r="50" spans="1:4">
      <c r="A50" s="180">
        <v>47</v>
      </c>
      <c r="B50" s="180" t="s">
        <v>546</v>
      </c>
      <c r="C50" s="181">
        <v>0.2</v>
      </c>
      <c r="D50" s="181">
        <v>0.5</v>
      </c>
    </row>
    <row r="51" spans="1:4">
      <c r="A51" s="180">
        <v>48</v>
      </c>
      <c r="B51" s="180" t="s">
        <v>545</v>
      </c>
      <c r="C51" s="181">
        <v>0.7</v>
      </c>
      <c r="D51" s="182">
        <f t="shared" ref="D51:D57" si="4">C51</f>
        <v>0.7</v>
      </c>
    </row>
    <row r="52" spans="1:4">
      <c r="A52" s="180">
        <v>49</v>
      </c>
      <c r="B52" s="180" t="s">
        <v>544</v>
      </c>
      <c r="C52" s="181">
        <v>0.9</v>
      </c>
      <c r="D52" s="182">
        <f t="shared" si="4"/>
        <v>0.9</v>
      </c>
    </row>
    <row r="53" spans="1:4">
      <c r="A53" s="180">
        <v>50</v>
      </c>
      <c r="B53" s="180" t="s">
        <v>543</v>
      </c>
      <c r="C53" s="181">
        <v>0.9</v>
      </c>
      <c r="D53" s="182">
        <f t="shared" si="4"/>
        <v>0.9</v>
      </c>
    </row>
    <row r="54" spans="1:4" ht="30">
      <c r="A54" s="220">
        <v>51</v>
      </c>
      <c r="B54" s="180" t="s">
        <v>542</v>
      </c>
      <c r="C54" s="181">
        <v>0.7</v>
      </c>
      <c r="D54" s="182">
        <f t="shared" si="4"/>
        <v>0.7</v>
      </c>
    </row>
    <row r="55" spans="1:4" ht="30">
      <c r="A55" s="221"/>
      <c r="B55" s="180" t="s">
        <v>541</v>
      </c>
      <c r="C55" s="181">
        <v>0.9</v>
      </c>
      <c r="D55" s="182">
        <f t="shared" si="4"/>
        <v>0.9</v>
      </c>
    </row>
    <row r="56" spans="1:4">
      <c r="A56" s="180">
        <v>52</v>
      </c>
      <c r="B56" s="180" t="s">
        <v>540</v>
      </c>
      <c r="C56" s="181">
        <v>0.9</v>
      </c>
      <c r="D56" s="182">
        <f t="shared" si="4"/>
        <v>0.9</v>
      </c>
    </row>
    <row r="57" spans="1:4">
      <c r="A57" s="180">
        <v>53</v>
      </c>
      <c r="B57" s="180" t="s">
        <v>539</v>
      </c>
      <c r="C57" s="181">
        <v>0.9</v>
      </c>
      <c r="D57" s="182">
        <f t="shared" si="4"/>
        <v>0.9</v>
      </c>
    </row>
    <row r="58" spans="1:4">
      <c r="A58" s="180">
        <v>54</v>
      </c>
      <c r="B58" s="180" t="s">
        <v>538</v>
      </c>
      <c r="C58" s="181">
        <v>0.2</v>
      </c>
      <c r="D58" s="181">
        <v>0.5</v>
      </c>
    </row>
    <row r="59" spans="1:4">
      <c r="A59" s="180">
        <v>55</v>
      </c>
      <c r="B59" s="180" t="s">
        <v>537</v>
      </c>
      <c r="C59" s="181">
        <v>0.9</v>
      </c>
      <c r="D59" s="182">
        <f t="shared" ref="D59:D122" si="5">C59</f>
        <v>0.9</v>
      </c>
    </row>
    <row r="60" spans="1:4">
      <c r="A60" s="180">
        <v>56</v>
      </c>
      <c r="B60" s="180" t="s">
        <v>536</v>
      </c>
      <c r="C60" s="181">
        <v>0.9</v>
      </c>
      <c r="D60" s="182">
        <f t="shared" si="5"/>
        <v>0.9</v>
      </c>
    </row>
    <row r="61" spans="1:4">
      <c r="A61" s="180">
        <v>57</v>
      </c>
      <c r="B61" s="180" t="s">
        <v>535</v>
      </c>
      <c r="C61" s="181">
        <v>0.9</v>
      </c>
      <c r="D61" s="182">
        <f t="shared" si="5"/>
        <v>0.9</v>
      </c>
    </row>
    <row r="62" spans="1:4">
      <c r="A62" s="180">
        <v>58</v>
      </c>
      <c r="B62" s="180" t="s">
        <v>441</v>
      </c>
      <c r="C62" s="181">
        <v>0.9</v>
      </c>
      <c r="D62" s="182">
        <f t="shared" si="5"/>
        <v>0.9</v>
      </c>
    </row>
    <row r="63" spans="1:4">
      <c r="A63" s="180">
        <v>59</v>
      </c>
      <c r="B63" s="180" t="s">
        <v>534</v>
      </c>
      <c r="C63" s="181">
        <v>0.9</v>
      </c>
      <c r="D63" s="182">
        <f t="shared" si="5"/>
        <v>0.9</v>
      </c>
    </row>
    <row r="64" spans="1:4">
      <c r="A64" s="180">
        <v>60</v>
      </c>
      <c r="B64" s="180" t="s">
        <v>533</v>
      </c>
      <c r="C64" s="181">
        <v>0.2</v>
      </c>
      <c r="D64" s="181">
        <v>0.5</v>
      </c>
    </row>
    <row r="65" spans="1:4">
      <c r="A65" s="180">
        <v>61</v>
      </c>
      <c r="B65" s="180" t="s">
        <v>532</v>
      </c>
      <c r="C65" s="181">
        <v>0.9</v>
      </c>
      <c r="D65" s="182">
        <f t="shared" si="5"/>
        <v>0.9</v>
      </c>
    </row>
    <row r="66" spans="1:4">
      <c r="A66" s="180">
        <v>62</v>
      </c>
      <c r="B66" s="180" t="s">
        <v>531</v>
      </c>
      <c r="C66" s="181">
        <v>0.7</v>
      </c>
      <c r="D66" s="182">
        <f t="shared" si="5"/>
        <v>0.7</v>
      </c>
    </row>
    <row r="67" spans="1:4">
      <c r="A67" s="180">
        <v>63</v>
      </c>
      <c r="B67" s="180" t="s">
        <v>530</v>
      </c>
      <c r="C67" s="181">
        <v>0.7</v>
      </c>
      <c r="D67" s="182">
        <f t="shared" si="5"/>
        <v>0.7</v>
      </c>
    </row>
    <row r="68" spans="1:4">
      <c r="A68" s="180">
        <v>64</v>
      </c>
      <c r="B68" s="180" t="s">
        <v>529</v>
      </c>
      <c r="C68" s="181">
        <v>0.2</v>
      </c>
      <c r="D68" s="181">
        <v>0.5</v>
      </c>
    </row>
    <row r="69" spans="1:4">
      <c r="A69" s="180">
        <v>65</v>
      </c>
      <c r="B69" s="180" t="s">
        <v>528</v>
      </c>
      <c r="C69" s="181">
        <v>0.9</v>
      </c>
      <c r="D69" s="182">
        <f t="shared" si="5"/>
        <v>0.9</v>
      </c>
    </row>
    <row r="70" spans="1:4">
      <c r="A70" s="180">
        <v>66</v>
      </c>
      <c r="B70" s="180" t="s">
        <v>527</v>
      </c>
      <c r="C70" s="181">
        <v>0.7</v>
      </c>
      <c r="D70" s="182">
        <f t="shared" si="5"/>
        <v>0.7</v>
      </c>
    </row>
    <row r="71" spans="1:4">
      <c r="A71" s="180">
        <v>67</v>
      </c>
      <c r="B71" s="180" t="s">
        <v>526</v>
      </c>
      <c r="C71" s="181">
        <v>0.9</v>
      </c>
      <c r="D71" s="182">
        <f t="shared" si="5"/>
        <v>0.9</v>
      </c>
    </row>
    <row r="72" spans="1:4">
      <c r="A72" s="180">
        <v>68</v>
      </c>
      <c r="B72" s="180" t="s">
        <v>525</v>
      </c>
      <c r="C72" s="181">
        <v>0.7</v>
      </c>
      <c r="D72" s="182">
        <f t="shared" si="5"/>
        <v>0.7</v>
      </c>
    </row>
    <row r="73" spans="1:4">
      <c r="A73" s="180">
        <v>69</v>
      </c>
      <c r="B73" s="180" t="s">
        <v>524</v>
      </c>
      <c r="C73" s="181">
        <v>0.5</v>
      </c>
      <c r="D73" s="182">
        <f t="shared" si="5"/>
        <v>0.5</v>
      </c>
    </row>
    <row r="74" spans="1:4">
      <c r="A74" s="180">
        <v>70</v>
      </c>
      <c r="B74" s="180" t="s">
        <v>523</v>
      </c>
      <c r="C74" s="181">
        <v>0.9</v>
      </c>
      <c r="D74" s="182">
        <f t="shared" si="5"/>
        <v>0.9</v>
      </c>
    </row>
    <row r="75" spans="1:4">
      <c r="A75" s="180">
        <v>71</v>
      </c>
      <c r="B75" s="180" t="s">
        <v>522</v>
      </c>
      <c r="C75" s="181">
        <v>0.7</v>
      </c>
      <c r="D75" s="182">
        <f t="shared" si="5"/>
        <v>0.7</v>
      </c>
    </row>
    <row r="76" spans="1:4">
      <c r="A76" s="180">
        <v>72</v>
      </c>
      <c r="B76" s="180" t="s">
        <v>521</v>
      </c>
      <c r="C76" s="181">
        <v>0.9</v>
      </c>
      <c r="D76" s="182">
        <f t="shared" si="5"/>
        <v>0.9</v>
      </c>
    </row>
    <row r="77" spans="1:4">
      <c r="A77" s="180">
        <v>73</v>
      </c>
      <c r="B77" s="180" t="s">
        <v>520</v>
      </c>
      <c r="C77" s="181">
        <v>0.7</v>
      </c>
      <c r="D77" s="182">
        <f t="shared" si="5"/>
        <v>0.7</v>
      </c>
    </row>
    <row r="78" spans="1:4">
      <c r="A78" s="180">
        <v>74</v>
      </c>
      <c r="B78" s="180" t="s">
        <v>519</v>
      </c>
      <c r="C78" s="181">
        <v>0.9</v>
      </c>
      <c r="D78" s="182">
        <f t="shared" si="5"/>
        <v>0.9</v>
      </c>
    </row>
    <row r="79" spans="1:4">
      <c r="A79" s="180">
        <v>75</v>
      </c>
      <c r="B79" s="180" t="s">
        <v>518</v>
      </c>
      <c r="C79" s="181">
        <v>0.9</v>
      </c>
      <c r="D79" s="182">
        <f t="shared" si="5"/>
        <v>0.9</v>
      </c>
    </row>
    <row r="80" spans="1:4">
      <c r="A80" s="180">
        <v>76</v>
      </c>
      <c r="B80" s="180" t="s">
        <v>517</v>
      </c>
      <c r="C80" s="181">
        <v>0.9</v>
      </c>
      <c r="D80" s="182">
        <f t="shared" si="5"/>
        <v>0.9</v>
      </c>
    </row>
    <row r="81" spans="1:4">
      <c r="A81" s="180">
        <v>77</v>
      </c>
      <c r="B81" s="180" t="s">
        <v>516</v>
      </c>
      <c r="C81" s="181">
        <v>0.7</v>
      </c>
      <c r="D81" s="182">
        <f t="shared" si="5"/>
        <v>0.7</v>
      </c>
    </row>
    <row r="82" spans="1:4">
      <c r="A82" s="180">
        <v>78</v>
      </c>
      <c r="B82" s="180" t="s">
        <v>515</v>
      </c>
      <c r="C82" s="181">
        <v>0.9</v>
      </c>
      <c r="D82" s="182">
        <f t="shared" si="5"/>
        <v>0.9</v>
      </c>
    </row>
    <row r="83" spans="1:4">
      <c r="A83" s="180">
        <v>79</v>
      </c>
      <c r="B83" s="180" t="s">
        <v>669</v>
      </c>
      <c r="C83" s="181">
        <v>0.9</v>
      </c>
      <c r="D83" s="182">
        <f t="shared" si="5"/>
        <v>0.9</v>
      </c>
    </row>
    <row r="84" spans="1:4">
      <c r="A84" s="180">
        <v>80</v>
      </c>
      <c r="B84" s="180" t="s">
        <v>514</v>
      </c>
      <c r="C84" s="181">
        <v>0.5</v>
      </c>
      <c r="D84" s="182">
        <f t="shared" si="5"/>
        <v>0.5</v>
      </c>
    </row>
    <row r="85" spans="1:4">
      <c r="A85" s="180">
        <v>81</v>
      </c>
      <c r="B85" s="180" t="s">
        <v>513</v>
      </c>
      <c r="C85" s="181">
        <v>0.9</v>
      </c>
      <c r="D85" s="182">
        <f t="shared" si="5"/>
        <v>0.9</v>
      </c>
    </row>
    <row r="86" spans="1:4">
      <c r="A86" s="180">
        <v>82</v>
      </c>
      <c r="B86" s="180" t="s">
        <v>512</v>
      </c>
      <c r="C86" s="181">
        <v>0.7</v>
      </c>
      <c r="D86" s="182">
        <f t="shared" si="5"/>
        <v>0.7</v>
      </c>
    </row>
    <row r="87" spans="1:4">
      <c r="A87" s="180">
        <v>83</v>
      </c>
      <c r="B87" s="180" t="s">
        <v>511</v>
      </c>
      <c r="C87" s="181">
        <v>0.7</v>
      </c>
      <c r="D87" s="182">
        <f t="shared" si="5"/>
        <v>0.7</v>
      </c>
    </row>
    <row r="88" spans="1:4">
      <c r="A88" s="180">
        <v>84</v>
      </c>
      <c r="B88" s="180" t="s">
        <v>510</v>
      </c>
      <c r="C88" s="181">
        <v>0.7</v>
      </c>
      <c r="D88" s="182">
        <f t="shared" si="5"/>
        <v>0.7</v>
      </c>
    </row>
    <row r="89" spans="1:4">
      <c r="A89" s="180">
        <v>85</v>
      </c>
      <c r="B89" s="180" t="s">
        <v>509</v>
      </c>
      <c r="C89" s="181">
        <v>0.7</v>
      </c>
      <c r="D89" s="182">
        <f t="shared" si="5"/>
        <v>0.7</v>
      </c>
    </row>
    <row r="90" spans="1:4">
      <c r="A90" s="180">
        <v>86</v>
      </c>
      <c r="B90" s="180" t="s">
        <v>508</v>
      </c>
      <c r="C90" s="181">
        <v>0.5</v>
      </c>
      <c r="D90" s="182">
        <f t="shared" si="5"/>
        <v>0.5</v>
      </c>
    </row>
    <row r="91" spans="1:4">
      <c r="A91" s="180">
        <v>87</v>
      </c>
      <c r="B91" s="180" t="s">
        <v>507</v>
      </c>
      <c r="C91" s="181">
        <v>0.2</v>
      </c>
      <c r="D91" s="181">
        <v>0.5</v>
      </c>
    </row>
    <row r="92" spans="1:4">
      <c r="A92" s="180">
        <v>88</v>
      </c>
      <c r="B92" s="180" t="s">
        <v>506</v>
      </c>
      <c r="C92" s="181">
        <v>0.7</v>
      </c>
      <c r="D92" s="182">
        <f t="shared" si="5"/>
        <v>0.7</v>
      </c>
    </row>
    <row r="93" spans="1:4">
      <c r="A93" s="180">
        <v>89</v>
      </c>
      <c r="B93" s="180" t="s">
        <v>505</v>
      </c>
      <c r="C93" s="181">
        <v>0.7</v>
      </c>
      <c r="D93" s="182">
        <f t="shared" si="5"/>
        <v>0.7</v>
      </c>
    </row>
    <row r="94" spans="1:4">
      <c r="A94" s="180">
        <v>90</v>
      </c>
      <c r="B94" s="180" t="s">
        <v>504</v>
      </c>
      <c r="C94" s="181">
        <v>0.7</v>
      </c>
      <c r="D94" s="182">
        <f t="shared" si="5"/>
        <v>0.7</v>
      </c>
    </row>
    <row r="95" spans="1:4">
      <c r="A95" s="180">
        <v>91</v>
      </c>
      <c r="B95" s="180" t="s">
        <v>503</v>
      </c>
      <c r="C95" s="181">
        <v>0.9</v>
      </c>
      <c r="D95" s="182">
        <f t="shared" si="5"/>
        <v>0.9</v>
      </c>
    </row>
    <row r="96" spans="1:4">
      <c r="A96" s="180">
        <v>92</v>
      </c>
      <c r="B96" s="180" t="s">
        <v>502</v>
      </c>
      <c r="C96" s="181">
        <v>0.9</v>
      </c>
      <c r="D96" s="182">
        <f t="shared" si="5"/>
        <v>0.9</v>
      </c>
    </row>
    <row r="97" spans="1:4">
      <c r="A97" s="180">
        <v>93</v>
      </c>
      <c r="B97" s="180" t="s">
        <v>501</v>
      </c>
      <c r="C97" s="181">
        <v>0.5</v>
      </c>
      <c r="D97" s="182">
        <f t="shared" si="5"/>
        <v>0.5</v>
      </c>
    </row>
    <row r="98" spans="1:4">
      <c r="A98" s="180">
        <v>94</v>
      </c>
      <c r="B98" s="180" t="s">
        <v>500</v>
      </c>
      <c r="C98" s="181">
        <v>0.7</v>
      </c>
      <c r="D98" s="182">
        <f t="shared" si="5"/>
        <v>0.7</v>
      </c>
    </row>
    <row r="99" spans="1:4">
      <c r="A99" s="180">
        <v>95</v>
      </c>
      <c r="B99" s="180" t="s">
        <v>499</v>
      </c>
      <c r="C99" s="181">
        <v>0.9</v>
      </c>
      <c r="D99" s="182">
        <f t="shared" si="5"/>
        <v>0.9</v>
      </c>
    </row>
    <row r="100" spans="1:4">
      <c r="A100" s="180">
        <v>96</v>
      </c>
      <c r="B100" s="180" t="s">
        <v>498</v>
      </c>
      <c r="C100" s="181">
        <v>0.9</v>
      </c>
      <c r="D100" s="182">
        <f t="shared" si="5"/>
        <v>0.9</v>
      </c>
    </row>
    <row r="101" spans="1:4">
      <c r="A101" s="180">
        <v>97</v>
      </c>
      <c r="B101" s="180" t="s">
        <v>497</v>
      </c>
      <c r="C101" s="181">
        <v>0.9</v>
      </c>
      <c r="D101" s="182">
        <f t="shared" si="5"/>
        <v>0.9</v>
      </c>
    </row>
    <row r="102" spans="1:4">
      <c r="A102" s="180">
        <v>98</v>
      </c>
      <c r="B102" s="180" t="s">
        <v>496</v>
      </c>
      <c r="C102" s="181">
        <v>0.9</v>
      </c>
      <c r="D102" s="182">
        <f t="shared" si="5"/>
        <v>0.9</v>
      </c>
    </row>
    <row r="103" spans="1:4">
      <c r="A103" s="180">
        <v>99</v>
      </c>
      <c r="B103" s="180" t="s">
        <v>495</v>
      </c>
      <c r="C103" s="181">
        <v>0.7</v>
      </c>
      <c r="D103" s="182">
        <f t="shared" si="5"/>
        <v>0.7</v>
      </c>
    </row>
    <row r="104" spans="1:4">
      <c r="A104" s="180">
        <v>100</v>
      </c>
      <c r="B104" s="180" t="s">
        <v>494</v>
      </c>
      <c r="C104" s="181">
        <v>0.5</v>
      </c>
      <c r="D104" s="182">
        <f t="shared" si="5"/>
        <v>0.5</v>
      </c>
    </row>
    <row r="105" spans="1:4">
      <c r="A105" s="180">
        <v>101</v>
      </c>
      <c r="B105" s="180" t="s">
        <v>493</v>
      </c>
      <c r="C105" s="181">
        <v>0.5</v>
      </c>
      <c r="D105" s="182">
        <f t="shared" si="5"/>
        <v>0.5</v>
      </c>
    </row>
    <row r="106" spans="1:4">
      <c r="A106" s="180">
        <v>102</v>
      </c>
      <c r="B106" s="180" t="s">
        <v>492</v>
      </c>
      <c r="C106" s="181">
        <v>0.5</v>
      </c>
      <c r="D106" s="182">
        <f t="shared" si="5"/>
        <v>0.5</v>
      </c>
    </row>
    <row r="107" spans="1:4">
      <c r="A107" s="180">
        <v>103</v>
      </c>
      <c r="B107" s="180" t="s">
        <v>491</v>
      </c>
      <c r="C107" s="181">
        <v>0.9</v>
      </c>
      <c r="D107" s="182">
        <f t="shared" si="5"/>
        <v>0.9</v>
      </c>
    </row>
    <row r="108" spans="1:4">
      <c r="A108" s="180">
        <v>104</v>
      </c>
      <c r="B108" s="180" t="s">
        <v>490</v>
      </c>
      <c r="C108" s="181">
        <v>0.7</v>
      </c>
      <c r="D108" s="182">
        <f t="shared" si="5"/>
        <v>0.7</v>
      </c>
    </row>
    <row r="109" spans="1:4">
      <c r="A109" s="180">
        <v>105</v>
      </c>
      <c r="B109" s="180" t="s">
        <v>489</v>
      </c>
      <c r="C109" s="181">
        <v>0.9</v>
      </c>
      <c r="D109" s="182">
        <f t="shared" si="5"/>
        <v>0.9</v>
      </c>
    </row>
    <row r="110" spans="1:4">
      <c r="A110" s="180">
        <v>106</v>
      </c>
      <c r="B110" s="180" t="s">
        <v>488</v>
      </c>
      <c r="C110" s="181">
        <v>0.2</v>
      </c>
      <c r="D110" s="182">
        <f t="shared" si="5"/>
        <v>0.2</v>
      </c>
    </row>
    <row r="111" spans="1:4">
      <c r="A111" s="180">
        <v>107</v>
      </c>
      <c r="B111" s="180" t="s">
        <v>487</v>
      </c>
      <c r="C111" s="181">
        <v>0.2</v>
      </c>
      <c r="D111" s="182">
        <f t="shared" si="5"/>
        <v>0.2</v>
      </c>
    </row>
    <row r="112" spans="1:4">
      <c r="A112" s="180">
        <v>108</v>
      </c>
      <c r="B112" s="180" t="s">
        <v>486</v>
      </c>
      <c r="C112" s="181">
        <v>0.9</v>
      </c>
      <c r="D112" s="182">
        <f t="shared" si="5"/>
        <v>0.9</v>
      </c>
    </row>
    <row r="113" spans="1:4">
      <c r="A113" s="180">
        <v>109</v>
      </c>
      <c r="B113" s="180" t="s">
        <v>485</v>
      </c>
      <c r="C113" s="181">
        <v>0.9</v>
      </c>
      <c r="D113" s="182">
        <f t="shared" si="5"/>
        <v>0.9</v>
      </c>
    </row>
    <row r="114" spans="1:4">
      <c r="A114" s="180">
        <v>110</v>
      </c>
      <c r="B114" s="180" t="s">
        <v>484</v>
      </c>
      <c r="C114" s="181">
        <v>0.7</v>
      </c>
      <c r="D114" s="182">
        <f t="shared" si="5"/>
        <v>0.7</v>
      </c>
    </row>
    <row r="115" spans="1:4">
      <c r="A115" s="180">
        <v>111</v>
      </c>
      <c r="B115" s="180" t="s">
        <v>483</v>
      </c>
      <c r="C115" s="181">
        <v>0.7</v>
      </c>
      <c r="D115" s="182">
        <f t="shared" si="5"/>
        <v>0.7</v>
      </c>
    </row>
    <row r="116" spans="1:4">
      <c r="A116" s="180">
        <v>112</v>
      </c>
      <c r="B116" s="180" t="s">
        <v>482</v>
      </c>
      <c r="C116" s="181">
        <v>0.7</v>
      </c>
      <c r="D116" s="182">
        <f t="shared" si="5"/>
        <v>0.7</v>
      </c>
    </row>
    <row r="117" spans="1:4">
      <c r="A117" s="180">
        <v>113</v>
      </c>
      <c r="B117" s="180" t="s">
        <v>481</v>
      </c>
      <c r="C117" s="181">
        <v>0.7</v>
      </c>
      <c r="D117" s="182">
        <f t="shared" si="5"/>
        <v>0.7</v>
      </c>
    </row>
    <row r="118" spans="1:4">
      <c r="A118" s="180">
        <v>114</v>
      </c>
      <c r="B118" s="180" t="s">
        <v>480</v>
      </c>
      <c r="C118" s="181">
        <v>0.9</v>
      </c>
      <c r="D118" s="182">
        <f t="shared" si="5"/>
        <v>0.9</v>
      </c>
    </row>
    <row r="119" spans="1:4">
      <c r="A119" s="180">
        <v>115</v>
      </c>
      <c r="B119" s="180" t="s">
        <v>479</v>
      </c>
      <c r="C119" s="181">
        <v>0.9</v>
      </c>
      <c r="D119" s="182">
        <f t="shared" si="5"/>
        <v>0.9</v>
      </c>
    </row>
    <row r="120" spans="1:4">
      <c r="A120" s="180">
        <v>116</v>
      </c>
      <c r="B120" s="180" t="s">
        <v>478</v>
      </c>
      <c r="C120" s="181">
        <v>0.2</v>
      </c>
      <c r="D120" s="181">
        <v>0.5</v>
      </c>
    </row>
    <row r="121" spans="1:4">
      <c r="A121" s="180">
        <v>117</v>
      </c>
      <c r="B121" s="180" t="s">
        <v>477</v>
      </c>
      <c r="C121" s="181">
        <v>0.9</v>
      </c>
      <c r="D121" s="182">
        <f t="shared" si="5"/>
        <v>0.9</v>
      </c>
    </row>
    <row r="122" spans="1:4">
      <c r="A122" s="180">
        <v>118</v>
      </c>
      <c r="B122" s="180" t="s">
        <v>476</v>
      </c>
      <c r="C122" s="181">
        <v>0.9</v>
      </c>
      <c r="D122" s="182">
        <f t="shared" si="5"/>
        <v>0.9</v>
      </c>
    </row>
    <row r="123" spans="1:4">
      <c r="A123" s="180">
        <v>119</v>
      </c>
      <c r="B123" s="180" t="s">
        <v>475</v>
      </c>
      <c r="C123" s="181">
        <v>0.5</v>
      </c>
      <c r="D123" s="182">
        <f t="shared" ref="D123:D136" si="6">C123</f>
        <v>0.5</v>
      </c>
    </row>
    <row r="124" spans="1:4">
      <c r="A124" s="180">
        <v>120</v>
      </c>
      <c r="B124" s="180" t="s">
        <v>474</v>
      </c>
      <c r="C124" s="181">
        <v>0.9</v>
      </c>
      <c r="D124" s="182">
        <f t="shared" si="6"/>
        <v>0.9</v>
      </c>
    </row>
    <row r="125" spans="1:4">
      <c r="A125" s="180">
        <v>121</v>
      </c>
      <c r="B125" s="180" t="s">
        <v>473</v>
      </c>
      <c r="C125" s="181">
        <v>0.7</v>
      </c>
      <c r="D125" s="182">
        <f t="shared" si="6"/>
        <v>0.7</v>
      </c>
    </row>
    <row r="126" spans="1:4">
      <c r="A126" s="180">
        <v>122</v>
      </c>
      <c r="B126" s="180" t="s">
        <v>472</v>
      </c>
      <c r="C126" s="181">
        <v>0.9</v>
      </c>
      <c r="D126" s="182">
        <f t="shared" si="6"/>
        <v>0.9</v>
      </c>
    </row>
    <row r="127" spans="1:4">
      <c r="A127" s="180">
        <v>123</v>
      </c>
      <c r="B127" s="180" t="s">
        <v>471</v>
      </c>
      <c r="C127" s="181">
        <v>0.9</v>
      </c>
      <c r="D127" s="182">
        <f t="shared" si="6"/>
        <v>0.9</v>
      </c>
    </row>
    <row r="128" spans="1:4">
      <c r="A128" s="180">
        <v>124</v>
      </c>
      <c r="B128" s="180" t="s">
        <v>470</v>
      </c>
      <c r="C128" s="181">
        <v>0.9</v>
      </c>
      <c r="D128" s="182">
        <f t="shared" si="6"/>
        <v>0.9</v>
      </c>
    </row>
    <row r="129" spans="1:12">
      <c r="A129" s="180">
        <v>125</v>
      </c>
      <c r="B129" s="180" t="s">
        <v>469</v>
      </c>
      <c r="C129" s="181">
        <v>0.7</v>
      </c>
      <c r="D129" s="182">
        <f t="shared" si="6"/>
        <v>0.7</v>
      </c>
    </row>
    <row r="130" spans="1:12">
      <c r="A130" s="180">
        <v>126</v>
      </c>
      <c r="B130" s="180" t="s">
        <v>468</v>
      </c>
      <c r="C130" s="181">
        <v>0.7</v>
      </c>
      <c r="D130" s="182">
        <f t="shared" si="6"/>
        <v>0.7</v>
      </c>
    </row>
    <row r="131" spans="1:12" ht="110.25">
      <c r="A131" s="180">
        <v>127</v>
      </c>
      <c r="B131" s="180" t="s">
        <v>467</v>
      </c>
      <c r="C131" s="181">
        <v>0.9</v>
      </c>
      <c r="D131" s="182">
        <f t="shared" si="6"/>
        <v>0.9</v>
      </c>
      <c r="I131" s="183" t="s">
        <v>673</v>
      </c>
    </row>
    <row r="132" spans="1:12">
      <c r="A132" s="180">
        <v>128</v>
      </c>
      <c r="B132" s="180" t="s">
        <v>466</v>
      </c>
      <c r="C132" s="181">
        <v>0.9</v>
      </c>
      <c r="D132" s="182">
        <f t="shared" si="6"/>
        <v>0.9</v>
      </c>
      <c r="I132" s="184"/>
    </row>
    <row r="133" spans="1:12">
      <c r="A133" s="180">
        <v>129</v>
      </c>
      <c r="B133" s="180" t="s">
        <v>465</v>
      </c>
      <c r="C133" s="181">
        <v>0.7</v>
      </c>
      <c r="D133" s="182">
        <f t="shared" si="6"/>
        <v>0.7</v>
      </c>
      <c r="I133" s="184"/>
    </row>
    <row r="134" spans="1:12" ht="15.75" thickBot="1">
      <c r="A134" s="180">
        <v>130</v>
      </c>
      <c r="B134" s="180" t="s">
        <v>464</v>
      </c>
      <c r="C134" s="181">
        <v>0.2</v>
      </c>
      <c r="D134" s="182">
        <f t="shared" si="6"/>
        <v>0.2</v>
      </c>
      <c r="I134" s="185"/>
      <c r="J134" s="185"/>
      <c r="K134" s="185"/>
      <c r="L134" s="185"/>
    </row>
    <row r="135" spans="1:12" ht="135.75" thickBot="1">
      <c r="A135" s="180">
        <v>131</v>
      </c>
      <c r="B135" s="180" t="s">
        <v>463</v>
      </c>
      <c r="C135" s="181">
        <v>0.9</v>
      </c>
      <c r="D135" s="182">
        <f t="shared" si="6"/>
        <v>0.9</v>
      </c>
      <c r="I135" s="186" t="s">
        <v>47</v>
      </c>
      <c r="J135" s="186" t="s">
        <v>426</v>
      </c>
      <c r="K135" s="186" t="s">
        <v>457</v>
      </c>
      <c r="L135" s="186" t="s">
        <v>674</v>
      </c>
    </row>
    <row r="136" spans="1:12" ht="15.75" thickBot="1">
      <c r="A136" s="180">
        <v>132</v>
      </c>
      <c r="B136" s="180" t="s">
        <v>670</v>
      </c>
      <c r="C136" s="181">
        <v>0.9</v>
      </c>
      <c r="D136" s="182">
        <f t="shared" si="6"/>
        <v>0.9</v>
      </c>
      <c r="I136" s="186">
        <v>1</v>
      </c>
      <c r="J136" s="186">
        <v>2</v>
      </c>
      <c r="K136" s="186">
        <v>3</v>
      </c>
      <c r="L136" s="186">
        <v>4</v>
      </c>
    </row>
    <row r="137" spans="1:12" ht="25.5" customHeight="1" thickBot="1">
      <c r="I137" s="187">
        <v>4</v>
      </c>
      <c r="J137" s="187" t="s">
        <v>425</v>
      </c>
      <c r="K137" s="187" t="s">
        <v>50</v>
      </c>
      <c r="L137" s="187">
        <v>450</v>
      </c>
    </row>
    <row r="138" spans="1:12" ht="105.75" thickBot="1">
      <c r="B138" s="218" t="s">
        <v>462</v>
      </c>
      <c r="C138" s="218"/>
      <c r="I138" s="187">
        <v>6</v>
      </c>
      <c r="J138" s="187" t="s">
        <v>451</v>
      </c>
      <c r="K138" s="187" t="s">
        <v>450</v>
      </c>
      <c r="L138" s="187">
        <v>30</v>
      </c>
    </row>
    <row r="139" spans="1:12" ht="60" customHeight="1" thickBot="1">
      <c r="B139" s="87" t="s">
        <v>461</v>
      </c>
      <c r="C139" s="86" t="s">
        <v>439</v>
      </c>
      <c r="I139" s="187">
        <v>1</v>
      </c>
      <c r="J139" s="187" t="s">
        <v>427</v>
      </c>
      <c r="K139" s="187" t="s">
        <v>50</v>
      </c>
      <c r="L139" s="187">
        <v>22100</v>
      </c>
    </row>
    <row r="140" spans="1:12" ht="45.75" thickBot="1">
      <c r="B140" s="85">
        <v>0.9</v>
      </c>
      <c r="C140" s="84" t="s">
        <v>460</v>
      </c>
      <c r="I140" s="187">
        <v>2</v>
      </c>
      <c r="J140" s="187" t="s">
        <v>454</v>
      </c>
      <c r="K140" s="187" t="s">
        <v>50</v>
      </c>
      <c r="L140" s="187">
        <v>11250</v>
      </c>
    </row>
    <row r="141" spans="1:12" ht="38.25" customHeight="1" thickBot="1">
      <c r="B141" s="85">
        <v>1</v>
      </c>
      <c r="C141" s="84" t="s">
        <v>459</v>
      </c>
      <c r="I141" s="188">
        <v>5</v>
      </c>
      <c r="J141" s="188" t="s">
        <v>452</v>
      </c>
      <c r="K141" s="188" t="s">
        <v>450</v>
      </c>
      <c r="L141" s="188">
        <v>300</v>
      </c>
    </row>
    <row r="142" spans="1:12" ht="60" customHeight="1" thickBot="1">
      <c r="B142" s="85">
        <v>0.75</v>
      </c>
      <c r="C142" s="84" t="s">
        <v>438</v>
      </c>
      <c r="I142" s="187">
        <v>3</v>
      </c>
      <c r="J142" s="187" t="s">
        <v>453</v>
      </c>
      <c r="K142" s="187" t="s">
        <v>50</v>
      </c>
      <c r="L142" s="187">
        <v>8550</v>
      </c>
    </row>
    <row r="143" spans="1:12" ht="45" customHeight="1">
      <c r="I143" s="187"/>
      <c r="J143" s="187"/>
      <c r="K143" s="187"/>
      <c r="L143" s="187"/>
    </row>
    <row r="144" spans="1:12" ht="15.75" customHeight="1" thickBot="1">
      <c r="I144" s="189"/>
      <c r="J144" s="189"/>
      <c r="K144" s="189"/>
      <c r="L144" s="189"/>
    </row>
    <row r="145" spans="1:16" ht="130.5" customHeight="1">
      <c r="A145" s="82" t="s">
        <v>458</v>
      </c>
      <c r="B145" s="219" t="s">
        <v>426</v>
      </c>
      <c r="C145" s="219" t="s">
        <v>457</v>
      </c>
      <c r="D145" s="219" t="s">
        <v>456</v>
      </c>
      <c r="I145" s="190" t="s">
        <v>675</v>
      </c>
      <c r="J145" s="194"/>
      <c r="K145" s="194"/>
      <c r="L145" s="195"/>
    </row>
    <row r="146" spans="1:16" ht="176.25" customHeight="1">
      <c r="A146" s="82" t="s">
        <v>455</v>
      </c>
      <c r="B146" s="219"/>
      <c r="C146" s="219"/>
      <c r="D146" s="219"/>
      <c r="I146" s="190" t="s">
        <v>676</v>
      </c>
      <c r="J146" s="194"/>
      <c r="K146" s="194"/>
      <c r="L146" s="195"/>
    </row>
    <row r="147" spans="1:16" ht="18.75" customHeight="1" thickBot="1">
      <c r="A147" s="83">
        <v>1</v>
      </c>
      <c r="B147" s="83">
        <v>2</v>
      </c>
      <c r="C147" s="83">
        <v>3</v>
      </c>
      <c r="D147" s="83">
        <v>4</v>
      </c>
      <c r="I147" s="191" t="s">
        <v>677</v>
      </c>
      <c r="J147" s="192"/>
      <c r="K147" s="192"/>
      <c r="L147" s="193"/>
    </row>
    <row r="148" spans="1:16" ht="60" customHeight="1" thickBot="1">
      <c r="A148" s="187">
        <v>4</v>
      </c>
      <c r="B148" s="187" t="s">
        <v>425</v>
      </c>
      <c r="C148" s="187" t="s">
        <v>50</v>
      </c>
      <c r="D148" s="187">
        <v>450</v>
      </c>
    </row>
    <row r="149" spans="1:16" ht="71.25" customHeight="1" thickBot="1">
      <c r="A149" s="187">
        <v>6</v>
      </c>
      <c r="B149" s="187" t="s">
        <v>451</v>
      </c>
      <c r="C149" s="187" t="s">
        <v>450</v>
      </c>
      <c r="D149" s="187">
        <v>30</v>
      </c>
    </row>
    <row r="150" spans="1:16" ht="18.75" customHeight="1" thickBot="1">
      <c r="A150" s="187">
        <v>1</v>
      </c>
      <c r="B150" s="187" t="s">
        <v>427</v>
      </c>
      <c r="C150" s="187" t="s">
        <v>50</v>
      </c>
      <c r="D150" s="187">
        <v>22100</v>
      </c>
    </row>
    <row r="151" spans="1:16" ht="85.5" customHeight="1">
      <c r="A151" s="187">
        <v>2</v>
      </c>
      <c r="B151" s="187" t="s">
        <v>454</v>
      </c>
      <c r="C151" s="187" t="s">
        <v>50</v>
      </c>
      <c r="D151" s="187">
        <v>11250</v>
      </c>
    </row>
    <row r="152" spans="1:16" ht="19.5" customHeight="1" thickBot="1">
      <c r="A152" s="188">
        <v>5</v>
      </c>
      <c r="B152" s="188" t="s">
        <v>452</v>
      </c>
      <c r="C152" s="188" t="s">
        <v>450</v>
      </c>
      <c r="D152" s="188">
        <v>300</v>
      </c>
    </row>
    <row r="153" spans="1:16" ht="19.5" customHeight="1">
      <c r="A153" s="187">
        <v>3</v>
      </c>
      <c r="B153" s="187" t="s">
        <v>453</v>
      </c>
      <c r="C153" s="187" t="s">
        <v>50</v>
      </c>
      <c r="D153" s="187">
        <v>8550</v>
      </c>
    </row>
    <row r="154" spans="1:16" ht="15" customHeight="1"/>
    <row r="155" spans="1:16" ht="15" customHeight="1"/>
    <row r="156" spans="1:16" ht="30" customHeight="1" thickBot="1">
      <c r="B156" s="148" t="s">
        <v>617</v>
      </c>
      <c r="C156" s="148" t="s">
        <v>618</v>
      </c>
    </row>
    <row r="157" spans="1:16" ht="105.75" thickBot="1">
      <c r="B157" s="6">
        <v>2025</v>
      </c>
      <c r="C157" s="6">
        <v>5</v>
      </c>
      <c r="O157" s="176" t="s">
        <v>421</v>
      </c>
      <c r="P157" s="176" t="s">
        <v>662</v>
      </c>
    </row>
    <row r="158" spans="1:16" ht="120.75" thickBot="1">
      <c r="B158" s="6">
        <v>2026</v>
      </c>
      <c r="C158" s="6">
        <v>10</v>
      </c>
      <c r="O158" s="176" t="s">
        <v>665</v>
      </c>
      <c r="P158" s="176" t="s">
        <v>664</v>
      </c>
    </row>
    <row r="159" spans="1:16" ht="90.75" customHeight="1" thickBot="1">
      <c r="B159" s="6" t="s">
        <v>616</v>
      </c>
      <c r="C159" s="6">
        <v>15</v>
      </c>
      <c r="O159" s="176" t="s">
        <v>663</v>
      </c>
      <c r="P159" s="176" t="s">
        <v>664</v>
      </c>
    </row>
    <row r="160" spans="1:16" ht="105" customHeight="1">
      <c r="O160" s="176" t="s">
        <v>421</v>
      </c>
      <c r="P160" s="176" t="s">
        <v>662</v>
      </c>
    </row>
    <row r="166" spans="1:17" ht="16.5" thickBot="1">
      <c r="A166" s="173"/>
      <c r="B166" s="178" t="s">
        <v>668</v>
      </c>
      <c r="C166" s="173"/>
    </row>
    <row r="167" spans="1:17" ht="30.75" customHeight="1" thickBot="1">
      <c r="A167" s="174" t="s">
        <v>47</v>
      </c>
      <c r="B167" s="174" t="s">
        <v>660</v>
      </c>
      <c r="C167" s="174" t="s">
        <v>661</v>
      </c>
    </row>
    <row r="168" spans="1:17" ht="15.75" thickBot="1">
      <c r="A168" s="175"/>
      <c r="B168" s="174">
        <v>2</v>
      </c>
      <c r="C168" s="174">
        <v>3</v>
      </c>
      <c r="Q168">
        <v>33</v>
      </c>
    </row>
    <row r="169" spans="1:17" ht="15" customHeight="1" thickBot="1">
      <c r="B169" s="176" t="s">
        <v>665</v>
      </c>
      <c r="C169" s="176" t="s">
        <v>664</v>
      </c>
      <c r="D169">
        <v>50</v>
      </c>
      <c r="Q169">
        <v>50</v>
      </c>
    </row>
    <row r="170" spans="1:17" ht="15" customHeight="1" thickBot="1">
      <c r="B170" s="176" t="s">
        <v>663</v>
      </c>
      <c r="C170" s="176" t="s">
        <v>664</v>
      </c>
      <c r="D170">
        <v>50</v>
      </c>
      <c r="Q170">
        <v>50</v>
      </c>
    </row>
    <row r="171" spans="1:17" ht="15" customHeight="1">
      <c r="B171" s="176" t="s">
        <v>421</v>
      </c>
      <c r="C171" s="176" t="s">
        <v>662</v>
      </c>
      <c r="D171">
        <v>33</v>
      </c>
      <c r="Q171">
        <v>33</v>
      </c>
    </row>
  </sheetData>
  <autoFilter ref="I136:L143" xr:uid="{7F03727D-7BC1-46ED-9C0E-5EB44AF99327}">
    <sortState xmlns:xlrd2="http://schemas.microsoft.com/office/spreadsheetml/2017/richdata2" ref="I137:L143">
      <sortCondition ref="J136:J143"/>
    </sortState>
  </autoFilter>
  <sortState xmlns:xlrd2="http://schemas.microsoft.com/office/spreadsheetml/2017/richdata2" ref="B141:C142">
    <sortCondition ref="C140:C142"/>
  </sortState>
  <mergeCells count="6">
    <mergeCell ref="A1:D1"/>
    <mergeCell ref="B138:C138"/>
    <mergeCell ref="B145:B146"/>
    <mergeCell ref="C145:C146"/>
    <mergeCell ref="D145:D146"/>
    <mergeCell ref="A54:A55"/>
  </mergeCells>
  <hyperlinks>
    <hyperlink ref="I147" r:id="rId1" location="7D20K3" display="https://docs.cntd.ru/document/351139048 - 7D20K3" xr:uid="{9F999544-3B08-4921-A73F-E05148147CF6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3A8E-9512-47C2-8831-9C129D26C211}">
  <dimension ref="A1:M57"/>
  <sheetViews>
    <sheetView tabSelected="1" zoomScale="85" zoomScaleNormal="85" workbookViewId="0">
      <selection activeCell="A4" sqref="A4"/>
    </sheetView>
  </sheetViews>
  <sheetFormatPr defaultRowHeight="15"/>
  <cols>
    <col min="2" max="2" width="56.85546875" customWidth="1"/>
    <col min="3" max="3" width="36.140625" customWidth="1"/>
    <col min="4" max="4" width="13" customWidth="1"/>
    <col min="5" max="5" width="17.7109375" customWidth="1"/>
    <col min="6" max="6" width="18" customWidth="1"/>
    <col min="7" max="7" width="18.42578125" customWidth="1"/>
    <col min="8" max="8" width="25" customWidth="1"/>
    <col min="9" max="9" width="16.85546875" customWidth="1"/>
    <col min="10" max="10" width="13.5703125" customWidth="1"/>
    <col min="11" max="11" width="17" customWidth="1"/>
    <col min="12" max="12" width="22.28515625" customWidth="1"/>
    <col min="13" max="13" width="21.42578125" customWidth="1"/>
  </cols>
  <sheetData>
    <row r="1" spans="1:13" ht="21.75" customHeight="1"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pans="1:13" ht="75">
      <c r="A2" s="225" t="s">
        <v>594</v>
      </c>
      <c r="B2" s="224" t="s">
        <v>689</v>
      </c>
      <c r="C2" s="222" t="s">
        <v>667</v>
      </c>
      <c r="D2" s="109" t="s">
        <v>666</v>
      </c>
      <c r="E2" s="109" t="s">
        <v>48</v>
      </c>
      <c r="F2" s="109" t="s">
        <v>603</v>
      </c>
      <c r="G2" s="109" t="s">
        <v>659</v>
      </c>
      <c r="H2" s="109" t="s">
        <v>604</v>
      </c>
      <c r="I2" s="109" t="s">
        <v>445</v>
      </c>
      <c r="J2" s="109" t="s">
        <v>656</v>
      </c>
      <c r="K2" s="109" t="s">
        <v>442</v>
      </c>
      <c r="L2" s="109" t="s">
        <v>598</v>
      </c>
      <c r="M2" s="109" t="s">
        <v>439</v>
      </c>
    </row>
    <row r="3" spans="1:13">
      <c r="A3" s="225"/>
      <c r="B3" s="224"/>
      <c r="C3" s="223"/>
      <c r="D3" s="109" t="s">
        <v>615</v>
      </c>
      <c r="E3" s="109" t="s">
        <v>50</v>
      </c>
      <c r="F3" s="109" t="s">
        <v>446</v>
      </c>
      <c r="G3" s="109" t="s">
        <v>447</v>
      </c>
      <c r="H3" s="109" t="s">
        <v>443</v>
      </c>
      <c r="I3" s="109" t="s">
        <v>444</v>
      </c>
      <c r="J3" s="109" t="s">
        <v>443</v>
      </c>
      <c r="K3" s="109"/>
      <c r="L3" s="109"/>
      <c r="M3" s="79"/>
    </row>
    <row r="4" spans="1:13" ht="30">
      <c r="A4" s="6">
        <f>IF(COUNTIF(B$3:B4,B4)=1,MAX(A$1:A3)+1,"")</f>
        <v>1</v>
      </c>
      <c r="B4" s="209" t="s">
        <v>607</v>
      </c>
      <c r="C4" s="109" t="s">
        <v>421</v>
      </c>
      <c r="D4" s="208" t="s">
        <v>616</v>
      </c>
      <c r="E4" s="80">
        <v>17779.810000000001</v>
      </c>
      <c r="F4" s="78" t="s">
        <v>672</v>
      </c>
      <c r="G4" s="81">
        <v>32103</v>
      </c>
      <c r="H4" s="78" t="s">
        <v>672</v>
      </c>
      <c r="I4" s="81">
        <v>2123</v>
      </c>
      <c r="J4" s="81">
        <f>I4</f>
        <v>2123</v>
      </c>
      <c r="K4" s="78" t="s">
        <v>489</v>
      </c>
      <c r="L4" s="78" t="s">
        <v>671</v>
      </c>
      <c r="M4" s="79" t="s">
        <v>459</v>
      </c>
    </row>
    <row r="5" spans="1:13" ht="30">
      <c r="A5" s="6">
        <f>IF(COUNTIF(B$3:B5,B5)=1,MAX(A$1:A4)+1,"")</f>
        <v>2</v>
      </c>
      <c r="B5" s="209" t="s">
        <v>608</v>
      </c>
      <c r="C5" s="109" t="s">
        <v>421</v>
      </c>
      <c r="D5" s="208" t="s">
        <v>616</v>
      </c>
      <c r="E5" s="80">
        <v>17268.05</v>
      </c>
      <c r="F5" s="78" t="s">
        <v>672</v>
      </c>
      <c r="G5" s="81">
        <f>G6+G7</f>
        <v>47520</v>
      </c>
      <c r="H5" s="78" t="s">
        <v>672</v>
      </c>
      <c r="I5" s="81">
        <f>I6+I7</f>
        <v>2487</v>
      </c>
      <c r="J5" s="81">
        <f>I5</f>
        <v>2487</v>
      </c>
      <c r="K5" s="78" t="s">
        <v>489</v>
      </c>
      <c r="L5" s="78" t="s">
        <v>671</v>
      </c>
      <c r="M5" s="79" t="s">
        <v>459</v>
      </c>
    </row>
    <row r="6" spans="1:13" ht="30">
      <c r="A6" s="6">
        <f>IF(COUNTIF(B$3:B6,B6)=1,MAX(A$1:A5)+1,"")</f>
        <v>3</v>
      </c>
      <c r="B6" s="209" t="s">
        <v>612</v>
      </c>
      <c r="C6" s="109" t="s">
        <v>421</v>
      </c>
      <c r="D6" s="208" t="s">
        <v>616</v>
      </c>
      <c r="E6" s="80">
        <v>12150</v>
      </c>
      <c r="F6" s="78" t="s">
        <v>672</v>
      </c>
      <c r="G6" s="81">
        <v>30089</v>
      </c>
      <c r="H6" s="78" t="s">
        <v>672</v>
      </c>
      <c r="I6" s="81">
        <v>1120</v>
      </c>
      <c r="J6" s="81">
        <f>I6</f>
        <v>1120</v>
      </c>
      <c r="K6" s="78" t="s">
        <v>489</v>
      </c>
      <c r="L6" s="78" t="s">
        <v>671</v>
      </c>
      <c r="M6" s="79" t="s">
        <v>459</v>
      </c>
    </row>
    <row r="7" spans="1:13" ht="30">
      <c r="A7" s="6">
        <f>IF(COUNTIF(B$3:B7,B7)=1,MAX(A$1:A6)+1,"")</f>
        <v>4</v>
      </c>
      <c r="B7" s="209" t="s">
        <v>611</v>
      </c>
      <c r="C7" s="109" t="s">
        <v>421</v>
      </c>
      <c r="D7" s="208" t="s">
        <v>616</v>
      </c>
      <c r="E7" s="80">
        <f>E5-E6</f>
        <v>5118.0499999999993</v>
      </c>
      <c r="F7" s="78" t="s">
        <v>672</v>
      </c>
      <c r="G7" s="81">
        <v>17431</v>
      </c>
      <c r="H7" s="78" t="s">
        <v>672</v>
      </c>
      <c r="I7" s="81">
        <v>1367</v>
      </c>
      <c r="J7" s="81">
        <f>I7</f>
        <v>1367</v>
      </c>
      <c r="K7" s="78" t="s">
        <v>489</v>
      </c>
      <c r="L7" s="78" t="s">
        <v>671</v>
      </c>
      <c r="M7" s="79" t="s">
        <v>459</v>
      </c>
    </row>
    <row r="8" spans="1:13" ht="30">
      <c r="A8" s="6">
        <f>IF(COUNTIF(B$3:B8,B8)=1,MAX(A$1:A7)+1,"")</f>
        <v>5</v>
      </c>
      <c r="B8" s="209" t="s">
        <v>609</v>
      </c>
      <c r="C8" s="109" t="s">
        <v>421</v>
      </c>
      <c r="D8" s="208">
        <v>2026</v>
      </c>
      <c r="E8" s="80">
        <v>24274.11</v>
      </c>
      <c r="F8" s="78" t="s">
        <v>672</v>
      </c>
      <c r="G8" s="81">
        <f>G9+G10</f>
        <v>51539.3</v>
      </c>
      <c r="H8" s="78" t="s">
        <v>672</v>
      </c>
      <c r="I8" s="81">
        <f>I9+I10</f>
        <v>3020.54</v>
      </c>
      <c r="J8" s="81">
        <f>J9+J10</f>
        <v>4048.0000000000005</v>
      </c>
      <c r="K8" s="78" t="s">
        <v>489</v>
      </c>
      <c r="L8" s="78" t="s">
        <v>671</v>
      </c>
      <c r="M8" s="79" t="s">
        <v>459</v>
      </c>
    </row>
    <row r="9" spans="1:13" ht="30">
      <c r="A9" s="6">
        <f>IF(COUNTIF(B$3:B9,B9)=1,MAX(A$1:A8)+1,"")</f>
        <v>6</v>
      </c>
      <c r="B9" s="209" t="s">
        <v>657</v>
      </c>
      <c r="C9" s="109" t="s">
        <v>421</v>
      </c>
      <c r="D9" s="208">
        <v>2026</v>
      </c>
      <c r="E9" s="80">
        <v>16700</v>
      </c>
      <c r="F9" s="78" t="s">
        <v>672</v>
      </c>
      <c r="G9" s="78">
        <v>28124.7</v>
      </c>
      <c r="H9" s="78" t="s">
        <v>672</v>
      </c>
      <c r="I9" s="78">
        <v>1998.5100000000002</v>
      </c>
      <c r="J9" s="81">
        <v>2757.4000000000005</v>
      </c>
      <c r="K9" s="78" t="s">
        <v>489</v>
      </c>
      <c r="L9" s="78" t="s">
        <v>671</v>
      </c>
      <c r="M9" s="79" t="s">
        <v>459</v>
      </c>
    </row>
    <row r="10" spans="1:13" ht="30">
      <c r="A10" s="6">
        <f>IF(COUNTIF(B$3:B10,B10)=1,MAX(A$1:A9)+1,"")</f>
        <v>7</v>
      </c>
      <c r="B10" s="209" t="s">
        <v>658</v>
      </c>
      <c r="C10" s="109" t="s">
        <v>421</v>
      </c>
      <c r="D10" s="208" t="s">
        <v>616</v>
      </c>
      <c r="E10" s="80">
        <f>E8-E9</f>
        <v>7574.1100000000006</v>
      </c>
      <c r="F10" s="78" t="s">
        <v>672</v>
      </c>
      <c r="G10" s="78">
        <v>23414.6</v>
      </c>
      <c r="H10" s="78" t="s">
        <v>672</v>
      </c>
      <c r="I10" s="78">
        <v>1022.03</v>
      </c>
      <c r="J10" s="81">
        <v>1290.5999999999999</v>
      </c>
      <c r="K10" s="78" t="s">
        <v>489</v>
      </c>
      <c r="L10" s="78" t="s">
        <v>671</v>
      </c>
      <c r="M10" s="79" t="s">
        <v>459</v>
      </c>
    </row>
    <row r="11" spans="1:13" ht="30">
      <c r="A11" s="6">
        <f>IF(COUNTIF(B$3:B11,B11)=1,MAX(A$1:A10)+1,"")</f>
        <v>8</v>
      </c>
      <c r="B11" s="209" t="s">
        <v>610</v>
      </c>
      <c r="C11" s="109" t="s">
        <v>421</v>
      </c>
      <c r="D11" s="208" t="s">
        <v>616</v>
      </c>
      <c r="E11" s="80">
        <v>24532.67</v>
      </c>
      <c r="F11" s="78" t="s">
        <v>672</v>
      </c>
      <c r="G11" s="81">
        <f>G12+G13</f>
        <v>55124</v>
      </c>
      <c r="H11" s="78" t="s">
        <v>672</v>
      </c>
      <c r="I11" s="81">
        <f>I12+I13</f>
        <v>4801</v>
      </c>
      <c r="J11" s="81">
        <f>J12+J13</f>
        <v>4801</v>
      </c>
      <c r="K11" s="78" t="s">
        <v>489</v>
      </c>
      <c r="L11" s="78" t="s">
        <v>671</v>
      </c>
      <c r="M11" s="79" t="s">
        <v>459</v>
      </c>
    </row>
    <row r="12" spans="1:13" ht="30">
      <c r="A12" s="6">
        <f>IF(COUNTIF(B$3:B12,B12)=1,MAX(A$1:A11)+1,"")</f>
        <v>9</v>
      </c>
      <c r="B12" s="209" t="s">
        <v>613</v>
      </c>
      <c r="C12" s="109" t="s">
        <v>421</v>
      </c>
      <c r="D12" s="208" t="s">
        <v>616</v>
      </c>
      <c r="E12" s="80">
        <v>16100</v>
      </c>
      <c r="F12" s="78" t="s">
        <v>672</v>
      </c>
      <c r="G12" s="78">
        <v>24133</v>
      </c>
      <c r="H12" s="78" t="s">
        <v>672</v>
      </c>
      <c r="I12" s="78">
        <v>3466</v>
      </c>
      <c r="J12" s="78">
        <v>3466</v>
      </c>
      <c r="K12" s="78" t="s">
        <v>489</v>
      </c>
      <c r="L12" s="78" t="s">
        <v>671</v>
      </c>
      <c r="M12" s="79" t="s">
        <v>459</v>
      </c>
    </row>
    <row r="13" spans="1:13" ht="30">
      <c r="A13" s="6">
        <f>IF(COUNTIF(B$3:B13,B13)=1,MAX(A$1:A12)+1,"")</f>
        <v>10</v>
      </c>
      <c r="B13" s="209" t="s">
        <v>614</v>
      </c>
      <c r="C13" s="109" t="s">
        <v>421</v>
      </c>
      <c r="D13" s="208" t="s">
        <v>616</v>
      </c>
      <c r="E13" s="80">
        <f>E11-E12</f>
        <v>8432.6699999999983</v>
      </c>
      <c r="F13" s="78" t="s">
        <v>672</v>
      </c>
      <c r="G13" s="78">
        <v>30991</v>
      </c>
      <c r="H13" s="78" t="s">
        <v>672</v>
      </c>
      <c r="I13" s="78">
        <v>1335</v>
      </c>
      <c r="J13" s="81">
        <f>I13</f>
        <v>1335</v>
      </c>
      <c r="K13" s="78" t="s">
        <v>489</v>
      </c>
      <c r="L13" s="78" t="s">
        <v>671</v>
      </c>
      <c r="M13" s="79" t="s">
        <v>459</v>
      </c>
    </row>
    <row r="14" spans="1:13">
      <c r="A14" s="6" t="str">
        <f>IF(COUNTIF(B$3:B14,B14)=1,MAX(A$1:A13)+1,"")</f>
        <v/>
      </c>
      <c r="B14" s="21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6" t="str">
        <f>IF(COUNTIF(B$3:B15,B15)=1,MAX(A$1:A14)+1,"")</f>
        <v/>
      </c>
      <c r="B15" s="2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6" t="str">
        <f>IF(COUNTIF(B$3:B16,B16)=1,MAX(A$1:A15)+1,"")</f>
        <v/>
      </c>
      <c r="B16" s="210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6" t="str">
        <f>IF(COUNTIF(B$3:B17,B17)=1,MAX(A$1:A16)+1,"")</f>
        <v/>
      </c>
      <c r="B17" s="2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6" t="str">
        <f>IF(COUNTIF(B$3:B18,B18)=1,MAX(A$1:A17)+1,"")</f>
        <v/>
      </c>
      <c r="B18" s="210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6" t="str">
        <f>IF(COUNTIF(B$3:B19,B19)=1,MAX(A$1:A18)+1,"")</f>
        <v/>
      </c>
      <c r="B19" s="2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t="str">
        <f>IF(COUNTIF(B$3:B20,B20)=1,MAX(A$1:A19)+1,"")</f>
        <v/>
      </c>
    </row>
    <row r="21" spans="1:13">
      <c r="A21" t="str">
        <f>IF(COUNTIF(B$3:B21,B21)=1,MAX(A$1:A20)+1,"")</f>
        <v/>
      </c>
    </row>
    <row r="22" spans="1:13">
      <c r="A22" t="str">
        <f>IF(COUNTIF(B$3:B22,B22)=1,MAX(A$1:A21)+1,"")</f>
        <v/>
      </c>
    </row>
    <row r="23" spans="1:13">
      <c r="A23" t="str">
        <f>IF(COUNTIF(B$3:B23,B23)=1,MAX(A$1:A22)+1,"")</f>
        <v/>
      </c>
    </row>
    <row r="24" spans="1:13">
      <c r="A24" t="str">
        <f>IF(COUNTIF(B$3:B24,B24)=1,MAX(A$1:A23)+1,"")</f>
        <v/>
      </c>
    </row>
    <row r="25" spans="1:13">
      <c r="A25" t="str">
        <f>IF(COUNTIF(B$3:B25,B25)=1,MAX(A$1:A24)+1,"")</f>
        <v/>
      </c>
    </row>
    <row r="26" spans="1:13">
      <c r="A26" t="str">
        <f>IF(COUNTIF(B$3:B26,B26)=1,MAX(A$1:A25)+1,"")</f>
        <v/>
      </c>
    </row>
    <row r="27" spans="1:13">
      <c r="A27" t="str">
        <f>IF(COUNTIF(B$3:B27,B27)=1,MAX(A$1:A26)+1,"")</f>
        <v/>
      </c>
    </row>
    <row r="28" spans="1:13">
      <c r="A28" t="str">
        <f>IF(COUNTIF(B$3:B28,B28)=1,MAX(A$1:A27)+1,"")</f>
        <v/>
      </c>
    </row>
    <row r="29" spans="1:13">
      <c r="A29" t="str">
        <f>IF(COUNTIF(B$3:B29,B29)=1,MAX(A$1:A28)+1,"")</f>
        <v/>
      </c>
    </row>
    <row r="30" spans="1:13">
      <c r="A30" t="str">
        <f>IF(COUNTIF(B$3:B30,B30)=1,MAX(A$1:A29)+1,"")</f>
        <v/>
      </c>
    </row>
    <row r="31" spans="1:13">
      <c r="A31" t="str">
        <f>IF(COUNTIF(B$3:B31,B31)=1,MAX(A$1:A30)+1,"")</f>
        <v/>
      </c>
    </row>
    <row r="32" spans="1:13">
      <c r="A32" t="str">
        <f>IF(COUNTIF(B$3:B32,B32)=1,MAX(A$1:A31)+1,"")</f>
        <v/>
      </c>
    </row>
    <row r="33" spans="1:1">
      <c r="A33" t="str">
        <f>IF(COUNTIF(B$3:B33,B33)=1,MAX(A$1:A32)+1,"")</f>
        <v/>
      </c>
    </row>
    <row r="34" spans="1:1">
      <c r="A34" t="str">
        <f>IF(COUNTIF(B$3:B34,B34)=1,MAX(A$1:A33)+1,"")</f>
        <v/>
      </c>
    </row>
    <row r="35" spans="1:1">
      <c r="A35" t="str">
        <f>IF(COUNTIF(B$3:B35,B35)=1,MAX(A$1:A34)+1,"")</f>
        <v/>
      </c>
    </row>
    <row r="36" spans="1:1">
      <c r="A36" t="str">
        <f>IF(COUNTIF(B$3:B36,B36)=1,MAX(A$1:A35)+1,"")</f>
        <v/>
      </c>
    </row>
    <row r="37" spans="1:1">
      <c r="A37" t="str">
        <f>IF(COUNTIF(B$3:B37,B37)=1,MAX(A$1:A36)+1,"")</f>
        <v/>
      </c>
    </row>
    <row r="38" spans="1:1">
      <c r="A38" t="str">
        <f>IF(COUNTIF(B$3:B38,B38)=1,MAX(A$1:A37)+1,"")</f>
        <v/>
      </c>
    </row>
    <row r="39" spans="1:1">
      <c r="A39" t="str">
        <f>IF(COUNTIF(B$3:B39,B39)=1,MAX(A$1:A38)+1,"")</f>
        <v/>
      </c>
    </row>
    <row r="40" spans="1:1">
      <c r="A40" t="str">
        <f>IF(COUNTIF(B$3:B40,B40)=1,MAX(A$1:A39)+1,"")</f>
        <v/>
      </c>
    </row>
    <row r="41" spans="1:1">
      <c r="A41" t="str">
        <f>IF(COUNTIF(B$3:B41,B41)=1,MAX(A$1:A40)+1,"")</f>
        <v/>
      </c>
    </row>
    <row r="42" spans="1:1">
      <c r="A42" t="str">
        <f>IF(COUNTIF(B$3:B42,B42)=1,MAX(A$1:A41)+1,"")</f>
        <v/>
      </c>
    </row>
    <row r="43" spans="1:1">
      <c r="A43" t="str">
        <f>IF(COUNTIF(B$3:B43,B43)=1,MAX(A$1:A42)+1,"")</f>
        <v/>
      </c>
    </row>
    <row r="44" spans="1:1">
      <c r="A44" t="str">
        <f>IF(COUNTIF(B$3:B44,B44)=1,MAX(A$1:A43)+1,"")</f>
        <v/>
      </c>
    </row>
    <row r="45" spans="1:1">
      <c r="A45" t="str">
        <f>IF(COUNTIF(B$3:B45,B45)=1,MAX(A$1:A44)+1,"")</f>
        <v/>
      </c>
    </row>
    <row r="46" spans="1:1">
      <c r="A46" t="str">
        <f>IF(COUNTIF(B$3:B46,B46)=1,MAX(A$1:A45)+1,"")</f>
        <v/>
      </c>
    </row>
    <row r="47" spans="1:1">
      <c r="A47" t="str">
        <f>IF(COUNTIF(B$3:B47,B47)=1,MAX(A$1:A46)+1,"")</f>
        <v/>
      </c>
    </row>
    <row r="48" spans="1:1">
      <c r="A48" t="str">
        <f>IF(COUNTIF(B$3:B48,B48)=1,MAX(A$1:A47)+1,"")</f>
        <v/>
      </c>
    </row>
    <row r="49" spans="1:1">
      <c r="A49" t="str">
        <f>IF(COUNTIF(B$3:B49,B49)=1,MAX(A$1:A48)+1,"")</f>
        <v/>
      </c>
    </row>
    <row r="50" spans="1:1">
      <c r="A50" t="str">
        <f>IF(COUNTIF(B$3:B50,B50)=1,MAX(A$1:A49)+1,"")</f>
        <v/>
      </c>
    </row>
    <row r="51" spans="1:1">
      <c r="A51" t="str">
        <f>IF(COUNTIF(B$3:B51,B51)=1,MAX(A$1:A50)+1,"")</f>
        <v/>
      </c>
    </row>
    <row r="52" spans="1:1">
      <c r="A52" t="str">
        <f>IF(COUNTIF(B$3:B52,B52)=1,MAX(A$1:A51)+1,"")</f>
        <v/>
      </c>
    </row>
    <row r="53" spans="1:1">
      <c r="A53" t="str">
        <f>IF(COUNTIF(B$3:B53,B53)=1,MAX(A$1:A52)+1,"")</f>
        <v/>
      </c>
    </row>
    <row r="54" spans="1:1">
      <c r="A54" t="str">
        <f>IF(COUNTIF(B$3:B54,B54)=1,MAX(A$1:A53)+1,"")</f>
        <v/>
      </c>
    </row>
    <row r="55" spans="1:1">
      <c r="A55" t="str">
        <f>IF(COUNTIF(B$3:B55,B55)=1,MAX(A$1:A54)+1,"")</f>
        <v/>
      </c>
    </row>
    <row r="56" spans="1:1">
      <c r="A56" t="str">
        <f>IF(COUNTIF(B$3:B56,B56)=1,MAX(A$1:A55)+1,"")</f>
        <v/>
      </c>
    </row>
    <row r="57" spans="1:1">
      <c r="A57" t="str">
        <f>IF(COUNTIF(B$3:B57,B57)=1,MAX(A$1:A56)+1,"")</f>
        <v/>
      </c>
    </row>
  </sheetData>
  <mergeCells count="3">
    <mergeCell ref="C2:C3"/>
    <mergeCell ref="B2:B3"/>
    <mergeCell ref="A2:A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91C4445-B0AB-4EF5-A58B-AF567D57741B}">
          <x14:formula1>
            <xm:f>Таблицы!$B$4:$B$136</xm:f>
          </x14:formula1>
          <xm:sqref>K4:K13</xm:sqref>
        </x14:dataValidation>
        <x14:dataValidation type="list" allowBlank="1" showInputMessage="1" showErrorMessage="1" xr:uid="{AE4D209F-600E-4B0F-AE41-9743FB12F064}">
          <x14:formula1>
            <xm:f>Таблицы!$B$169:$B$171</xm:f>
          </x14:formula1>
          <xm:sqref>C4:C13</xm:sqref>
        </x14:dataValidation>
        <x14:dataValidation type="list" allowBlank="1" showInputMessage="1" showErrorMessage="1" xr:uid="{082353DE-37DD-4919-89A3-5163178D7021}">
          <x14:formula1>
            <xm:f>Таблицы!$B$157:$B$159</xm:f>
          </x14:formula1>
          <xm:sqref>D4:D13</xm:sqref>
        </x14:dataValidation>
        <x14:dataValidation type="list" allowBlank="1" showInputMessage="1" showErrorMessage="1" xr:uid="{E2840CA7-1599-40F9-9D20-0D8BCDE1B7E3}">
          <x14:formula1>
            <xm:f>Таблицы!$C$140:$C$142</xm:f>
          </x14:formula1>
          <xm:sqref>M4:M13</xm:sqref>
        </x14:dataValidation>
        <x14:dataValidation type="list" allowBlank="1" showInputMessage="1" showErrorMessage="1" xr:uid="{03C1150E-85A6-462E-8EE9-9A559D360F72}">
          <x14:formula1>
            <xm:f>Таблицы!$C$2:$D$2</xm:f>
          </x14:formula1>
          <xm:sqref>L4:L13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61A4-29EE-44D6-B0B3-1B1FFE62F6AE}">
  <sheetPr>
    <pageSetUpPr fitToPage="1"/>
  </sheetPr>
  <dimension ref="A1:AL116"/>
  <sheetViews>
    <sheetView view="pageBreakPreview" zoomScale="85" zoomScaleNormal="70" zoomScaleSheetLayoutView="8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F1" sqref="F1"/>
    </sheetView>
  </sheetViews>
  <sheetFormatPr defaultColWidth="9.140625" defaultRowHeight="15"/>
  <cols>
    <col min="1" max="1" width="10" style="104" customWidth="1"/>
    <col min="2" max="2" width="66.7109375" style="77" customWidth="1"/>
    <col min="3" max="3" width="15.140625" style="77" customWidth="1"/>
    <col min="4" max="4" width="24" style="104" customWidth="1"/>
    <col min="5" max="5" width="10.5703125" style="77" customWidth="1"/>
    <col min="6" max="6" width="13.140625" style="104" customWidth="1"/>
    <col min="7" max="7" width="13.42578125" style="104" customWidth="1"/>
    <col min="8" max="8" width="12.5703125" style="104" customWidth="1"/>
    <col min="9" max="9" width="11.5703125" style="104" customWidth="1"/>
    <col min="10" max="10" width="12" style="104" customWidth="1"/>
    <col min="11" max="11" width="12.140625" style="104" customWidth="1"/>
    <col min="12" max="12" width="11.140625" style="104" customWidth="1"/>
    <col min="13" max="13" width="12.85546875" style="104" customWidth="1"/>
    <col min="14" max="14" width="14.28515625" style="104" customWidth="1"/>
    <col min="15" max="15" width="14" style="104" customWidth="1"/>
    <col min="16" max="16" width="10" style="77" customWidth="1"/>
    <col min="17" max="17" width="10.42578125" style="77" customWidth="1"/>
    <col min="18" max="18" width="9.85546875" style="77" customWidth="1"/>
    <col min="19" max="19" width="9" style="77" customWidth="1"/>
    <col min="20" max="20" width="9.140625" style="77" customWidth="1"/>
    <col min="21" max="16384" width="9.140625" style="77"/>
  </cols>
  <sheetData>
    <row r="1" spans="1:18" s="123" customFormat="1" ht="45">
      <c r="A1" s="112"/>
      <c r="B1" s="228" t="s">
        <v>609</v>
      </c>
      <c r="C1" s="229"/>
      <c r="D1" s="230"/>
      <c r="E1" s="109"/>
      <c r="F1" s="109" t="str">
        <f>'Исходные данные'!$B$4</f>
        <v>Строгино_Среда_к1</v>
      </c>
      <c r="G1" s="109" t="str">
        <f>'Исходные данные'!$B$5</f>
        <v>Строгино_Среда_к2</v>
      </c>
      <c r="H1" s="109" t="str">
        <f>'Исходные данные'!$B$6</f>
        <v>Строгино_Среда_к2.1</v>
      </c>
      <c r="I1" s="109" t="str">
        <f>'Исходные данные'!$B$7</f>
        <v>Строгино_Среда_к2.2</v>
      </c>
      <c r="J1" s="109" t="str">
        <f>'Исходные данные'!$B$8</f>
        <v>Строгино_Среда_к3</v>
      </c>
      <c r="K1" s="109" t="str">
        <f>'Исходные данные'!$B$9</f>
        <v>Строгино_Среда_к3.1-3.4</v>
      </c>
      <c r="L1" s="109" t="str">
        <f>'Исходные данные'!$B$10</f>
        <v>Строгино_Среда_к3.4-3.7</v>
      </c>
      <c r="M1" s="109" t="str">
        <f>'Исходные данные'!$B$11</f>
        <v>Строгино_Среда_к4</v>
      </c>
      <c r="N1" s="109" t="str">
        <f>'Исходные данные'!$B$12</f>
        <v>Строгино_Среда_к4.1</v>
      </c>
      <c r="O1" s="109" t="str">
        <f>'Исходные данные'!$B$13</f>
        <v>Строгино_Среда_к4.2</v>
      </c>
      <c r="P1" s="109">
        <f>'Исходные данные'!$B$14</f>
        <v>0</v>
      </c>
      <c r="Q1" s="109">
        <f>'Исходные данные'!$B$15</f>
        <v>0</v>
      </c>
      <c r="R1" s="109">
        <f>'Исходные данные'!$B$16</f>
        <v>0</v>
      </c>
    </row>
    <row r="2" spans="1:18" ht="24.75" customHeight="1">
      <c r="A2" s="94"/>
      <c r="B2" s="231" t="s">
        <v>679</v>
      </c>
      <c r="C2" s="231"/>
      <c r="D2" s="231"/>
      <c r="E2" s="80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r="3" spans="1:18">
      <c r="A3" s="94"/>
      <c r="B3" s="80" t="s">
        <v>449</v>
      </c>
      <c r="C3" s="80" t="s">
        <v>448</v>
      </c>
      <c r="D3" s="94" t="s">
        <v>58</v>
      </c>
      <c r="E3" s="80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r="4" spans="1:18" ht="60">
      <c r="A4" s="94"/>
      <c r="B4" s="80" t="s">
        <v>667</v>
      </c>
      <c r="C4" s="80"/>
      <c r="D4" s="177" t="str">
        <f t="shared" ref="D4:D14" si="0">LOOKUP($B$1,E$1:AT$1,E4:AT4)</f>
        <v>Многоквартирный дом (2.1.1, 2.5, 2.6)</v>
      </c>
      <c r="E4" s="80"/>
      <c r="F4" s="109" t="str">
        <f>'Исходные данные'!$C$4</f>
        <v>Многоквартирный дом (2.1.1, 2.5, 2.6)</v>
      </c>
      <c r="G4" s="109" t="str">
        <f>'Исходные данные'!$C$5</f>
        <v>Многоквартирный дом (2.1.1, 2.5, 2.6)</v>
      </c>
      <c r="H4" s="109" t="str">
        <f>'Исходные данные'!$C$6</f>
        <v>Многоквартирный дом (2.1.1, 2.5, 2.6)</v>
      </c>
      <c r="I4" s="109" t="str">
        <f>'Исходные данные'!$C$7</f>
        <v>Многоквартирный дом (2.1.1, 2.5, 2.6)</v>
      </c>
      <c r="J4" s="109" t="str">
        <f>'Исходные данные'!$C$8</f>
        <v>Многоквартирный дом (2.1.1, 2.5, 2.6)</v>
      </c>
      <c r="K4" s="109" t="str">
        <f>'Исходные данные'!$C$9</f>
        <v>Многоквартирный дом (2.1.1, 2.5, 2.6)</v>
      </c>
      <c r="L4" s="109" t="str">
        <f>'Исходные данные'!$C$10</f>
        <v>Многоквартирный дом (2.1.1, 2.5, 2.6)</v>
      </c>
      <c r="M4" s="109" t="str">
        <f>'Исходные данные'!$C$11</f>
        <v>Многоквартирный дом (2.1.1, 2.5, 2.6)</v>
      </c>
      <c r="N4" s="109" t="str">
        <f>'Исходные данные'!$C$12</f>
        <v>Многоквартирный дом (2.1.1, 2.5, 2.6)</v>
      </c>
      <c r="O4" s="109" t="str">
        <f>'Исходные данные'!$C$13</f>
        <v>Многоквартирный дом (2.1.1, 2.5, 2.6)</v>
      </c>
      <c r="P4" s="109">
        <f>'Исходные данные'!$C$14</f>
        <v>0</v>
      </c>
      <c r="Q4" s="109">
        <f>'Исходные данные'!$C$15</f>
        <v>0</v>
      </c>
      <c r="R4" s="109">
        <f>'Исходные данные'!$C$16</f>
        <v>0</v>
      </c>
    </row>
    <row r="5" spans="1:18" ht="30">
      <c r="A5" s="94"/>
      <c r="B5" s="80" t="s">
        <v>666</v>
      </c>
      <c r="C5" s="80" t="s">
        <v>615</v>
      </c>
      <c r="D5" s="153">
        <f t="shared" si="0"/>
        <v>2026</v>
      </c>
      <c r="E5" s="80"/>
      <c r="F5" s="109" t="str">
        <f>'Исходные данные'!$D$4</f>
        <v>2027 и далее</v>
      </c>
      <c r="G5" s="109" t="str">
        <f>'Исходные данные'!$D$5</f>
        <v>2027 и далее</v>
      </c>
      <c r="H5" s="109" t="str">
        <f>'Исходные данные'!$D$6</f>
        <v>2027 и далее</v>
      </c>
      <c r="I5" s="109" t="str">
        <f>'Исходные данные'!$D$7</f>
        <v>2027 и далее</v>
      </c>
      <c r="J5" s="109">
        <f>'Исходные данные'!$D$8</f>
        <v>2026</v>
      </c>
      <c r="K5" s="109">
        <f>'Исходные данные'!$D$9</f>
        <v>2026</v>
      </c>
      <c r="L5" s="109" t="str">
        <f>'Исходные данные'!$D$10</f>
        <v>2027 и далее</v>
      </c>
      <c r="M5" s="109" t="str">
        <f>'Исходные данные'!$D$11</f>
        <v>2027 и далее</v>
      </c>
      <c r="N5" s="109" t="str">
        <f>'Исходные данные'!$D$12</f>
        <v>2027 и далее</v>
      </c>
      <c r="O5" s="109" t="str">
        <f>'Исходные данные'!$D$13</f>
        <v>2027 и далее</v>
      </c>
      <c r="P5" s="109">
        <f>'Исходные данные'!$D$14</f>
        <v>0</v>
      </c>
      <c r="Q5" s="109">
        <f>'Исходные данные'!$D$15</f>
        <v>0</v>
      </c>
      <c r="R5" s="109">
        <f>'Исходные данные'!$D$16</f>
        <v>0</v>
      </c>
    </row>
    <row r="6" spans="1:18">
      <c r="A6" s="94"/>
      <c r="B6" s="80" t="s">
        <v>48</v>
      </c>
      <c r="C6" s="80" t="s">
        <v>50</v>
      </c>
      <c r="D6" s="105">
        <f t="shared" si="0"/>
        <v>24274.11</v>
      </c>
      <c r="E6" s="80"/>
      <c r="F6" s="109">
        <f>'Исходные данные'!$E$4</f>
        <v>17779.810000000001</v>
      </c>
      <c r="G6" s="109">
        <f>'Исходные данные'!$E$5</f>
        <v>17268.05</v>
      </c>
      <c r="H6" s="109">
        <f>'Исходные данные'!$E$6</f>
        <v>12150</v>
      </c>
      <c r="I6" s="109">
        <f>'Исходные данные'!$E$7</f>
        <v>5118.0499999999993</v>
      </c>
      <c r="J6" s="109">
        <f>'Исходные данные'!$E$8</f>
        <v>24274.11</v>
      </c>
      <c r="K6" s="109">
        <f>'Исходные данные'!$E$9</f>
        <v>16700</v>
      </c>
      <c r="L6" s="109">
        <f>'Исходные данные'!$E$10</f>
        <v>7574.1100000000006</v>
      </c>
      <c r="M6" s="109">
        <f>'Исходные данные'!$E$11</f>
        <v>24532.67</v>
      </c>
      <c r="N6" s="109">
        <f>'Исходные данные'!$E$12</f>
        <v>16100</v>
      </c>
      <c r="O6" s="109">
        <f>'Исходные данные'!$E$13</f>
        <v>8432.6699999999983</v>
      </c>
      <c r="P6" s="109">
        <f>'Исходные данные'!$E$14</f>
        <v>0</v>
      </c>
      <c r="Q6" s="109">
        <f>'Исходные данные'!$E$15</f>
        <v>0</v>
      </c>
      <c r="R6" s="109">
        <f>'Исходные данные'!$E$16</f>
        <v>0</v>
      </c>
    </row>
    <row r="7" spans="1:18">
      <c r="A7" s="94"/>
      <c r="B7" s="109" t="s">
        <v>603</v>
      </c>
      <c r="C7" s="80" t="s">
        <v>446</v>
      </c>
      <c r="D7" s="105" t="s">
        <v>672</v>
      </c>
      <c r="E7" s="80"/>
      <c r="F7" s="109" t="str">
        <f>'Исходные данные'!$F$4</f>
        <v>-</v>
      </c>
      <c r="G7" s="109" t="str">
        <f>'Исходные данные'!$F$5</f>
        <v>-</v>
      </c>
      <c r="H7" s="109" t="str">
        <f>'Исходные данные'!$F$6</f>
        <v>-</v>
      </c>
      <c r="I7" s="109" t="str">
        <f>'Исходные данные'!$F$7</f>
        <v>-</v>
      </c>
      <c r="J7" s="109" t="str">
        <f>'Исходные данные'!$F$8</f>
        <v>-</v>
      </c>
      <c r="K7" s="109" t="str">
        <f>'Исходные данные'!$F$9</f>
        <v>-</v>
      </c>
      <c r="L7" s="109" t="str">
        <f>'Исходные данные'!$F$10</f>
        <v>-</v>
      </c>
      <c r="M7" s="109" t="str">
        <f>'Исходные данные'!$F$11</f>
        <v>-</v>
      </c>
      <c r="N7" s="109" t="str">
        <f>'Исходные данные'!$F$12</f>
        <v>-</v>
      </c>
      <c r="O7" s="109" t="str">
        <f>'Исходные данные'!$F$13</f>
        <v>-</v>
      </c>
      <c r="P7" s="109">
        <f>'Исходные данные'!$F$14</f>
        <v>0</v>
      </c>
      <c r="Q7" s="109">
        <f>'Исходные данные'!$F$15</f>
        <v>0</v>
      </c>
      <c r="R7" s="109">
        <f>'Исходные данные'!$F$16</f>
        <v>0</v>
      </c>
    </row>
    <row r="8" spans="1:18">
      <c r="A8" s="94"/>
      <c r="B8" s="80" t="s">
        <v>659</v>
      </c>
      <c r="C8" s="80" t="s">
        <v>447</v>
      </c>
      <c r="D8" s="105">
        <f t="shared" si="0"/>
        <v>51539.3</v>
      </c>
      <c r="E8" s="80"/>
      <c r="F8" s="109">
        <f>'Исходные данные'!$G$4</f>
        <v>32103</v>
      </c>
      <c r="G8" s="109">
        <f>'Исходные данные'!$G$5</f>
        <v>47520</v>
      </c>
      <c r="H8" s="109">
        <f>'Исходные данные'!$G$6</f>
        <v>30089</v>
      </c>
      <c r="I8" s="109">
        <f>'Исходные данные'!$G$7</f>
        <v>17431</v>
      </c>
      <c r="J8" s="109">
        <f>'Исходные данные'!$G$8</f>
        <v>51539.3</v>
      </c>
      <c r="K8" s="109">
        <f>'Исходные данные'!$G$9</f>
        <v>28124.7</v>
      </c>
      <c r="L8" s="109">
        <f>'Исходные данные'!$G$10</f>
        <v>23414.6</v>
      </c>
      <c r="M8" s="109">
        <f>'Исходные данные'!$G$11</f>
        <v>55124</v>
      </c>
      <c r="N8" s="109">
        <f>'Исходные данные'!$G$12</f>
        <v>24133</v>
      </c>
      <c r="O8" s="109">
        <f>'Исходные данные'!$G$13</f>
        <v>30991</v>
      </c>
      <c r="P8" s="109">
        <f>'Исходные данные'!$G$14</f>
        <v>0</v>
      </c>
      <c r="Q8" s="109">
        <f>'Исходные данные'!$G$15</f>
        <v>0</v>
      </c>
      <c r="R8" s="109">
        <f>'Исходные данные'!$G$16</f>
        <v>0</v>
      </c>
    </row>
    <row r="9" spans="1:18" ht="30">
      <c r="A9" s="94"/>
      <c r="B9" s="109" t="s">
        <v>604</v>
      </c>
      <c r="C9" s="80" t="s">
        <v>443</v>
      </c>
      <c r="D9" s="105" t="s">
        <v>672</v>
      </c>
      <c r="E9" s="80"/>
      <c r="F9" s="109" t="str">
        <f>'Исходные данные'!$H$4</f>
        <v>-</v>
      </c>
      <c r="G9" s="109" t="str">
        <f>'Исходные данные'!$H$5</f>
        <v>-</v>
      </c>
      <c r="H9" s="109" t="str">
        <f>'Исходные данные'!$H$6</f>
        <v>-</v>
      </c>
      <c r="I9" s="109" t="str">
        <f>'Исходные данные'!$H$7</f>
        <v>-</v>
      </c>
      <c r="J9" s="109" t="str">
        <f>'Исходные данные'!$H$8</f>
        <v>-</v>
      </c>
      <c r="K9" s="109" t="str">
        <f>'Исходные данные'!$H$9</f>
        <v>-</v>
      </c>
      <c r="L9" s="109" t="str">
        <f>'Исходные данные'!$H$10</f>
        <v>-</v>
      </c>
      <c r="M9" s="109" t="str">
        <f>'Исходные данные'!$H$11</f>
        <v>-</v>
      </c>
      <c r="N9" s="109" t="str">
        <f>'Исходные данные'!$H$12</f>
        <v>-</v>
      </c>
      <c r="O9" s="109" t="str">
        <f>'Исходные данные'!$H$13</f>
        <v>-</v>
      </c>
      <c r="P9" s="109">
        <f>'Исходные данные'!$H$14</f>
        <v>0</v>
      </c>
      <c r="Q9" s="109">
        <f>'Исходные данные'!$H$15</f>
        <v>0</v>
      </c>
      <c r="R9" s="109">
        <f>'Исходные данные'!$H$16</f>
        <v>0</v>
      </c>
    </row>
    <row r="10" spans="1:18">
      <c r="A10" s="94"/>
      <c r="B10" s="109" t="s">
        <v>445</v>
      </c>
      <c r="C10" s="80" t="s">
        <v>444</v>
      </c>
      <c r="D10" s="105">
        <f t="shared" si="0"/>
        <v>3020.54</v>
      </c>
      <c r="E10" s="80"/>
      <c r="F10" s="109">
        <f>'Исходные данные'!$I$4</f>
        <v>2123</v>
      </c>
      <c r="G10" s="109">
        <f>'Исходные данные'!$I$5</f>
        <v>2487</v>
      </c>
      <c r="H10" s="109">
        <f>'Исходные данные'!$I$6</f>
        <v>1120</v>
      </c>
      <c r="I10" s="109">
        <f>'Исходные данные'!$I$7</f>
        <v>1367</v>
      </c>
      <c r="J10" s="109">
        <f>'Исходные данные'!$I$8</f>
        <v>3020.54</v>
      </c>
      <c r="K10" s="109">
        <f>'Исходные данные'!$I$9</f>
        <v>1998.5100000000002</v>
      </c>
      <c r="L10" s="109">
        <f>'Исходные данные'!$I$10</f>
        <v>1022.03</v>
      </c>
      <c r="M10" s="109">
        <f>'Исходные данные'!$I$11</f>
        <v>4801</v>
      </c>
      <c r="N10" s="109">
        <f>'Исходные данные'!$I$12</f>
        <v>3466</v>
      </c>
      <c r="O10" s="109">
        <f>'Исходные данные'!$I$13</f>
        <v>1335</v>
      </c>
      <c r="P10" s="109">
        <f>'Исходные данные'!$I$14</f>
        <v>0</v>
      </c>
      <c r="Q10" s="109">
        <f>'Исходные данные'!$I$15</f>
        <v>0</v>
      </c>
      <c r="R10" s="109">
        <f>'Исходные данные'!$I$16</f>
        <v>0</v>
      </c>
    </row>
    <row r="11" spans="1:18">
      <c r="A11" s="94"/>
      <c r="B11" s="109" t="s">
        <v>656</v>
      </c>
      <c r="C11" s="80" t="s">
        <v>443</v>
      </c>
      <c r="D11" s="105">
        <f t="shared" si="0"/>
        <v>4048.0000000000005</v>
      </c>
      <c r="E11" s="80"/>
      <c r="F11" s="109">
        <f>'Исходные данные'!$J$4</f>
        <v>2123</v>
      </c>
      <c r="G11" s="109">
        <f>'Исходные данные'!$J$5</f>
        <v>2487</v>
      </c>
      <c r="H11" s="109">
        <f>'Исходные данные'!$J$6</f>
        <v>1120</v>
      </c>
      <c r="I11" s="109">
        <f>'Исходные данные'!$J$7</f>
        <v>1367</v>
      </c>
      <c r="J11" s="109">
        <f>'Исходные данные'!$J$8</f>
        <v>4048.0000000000005</v>
      </c>
      <c r="K11" s="109">
        <f>'Исходные данные'!$J$9</f>
        <v>2757.4000000000005</v>
      </c>
      <c r="L11" s="109">
        <f>'Исходные данные'!$J$10</f>
        <v>1290.5999999999999</v>
      </c>
      <c r="M11" s="109">
        <f>'Исходные данные'!$J$11</f>
        <v>4801</v>
      </c>
      <c r="N11" s="109">
        <f>'Исходные данные'!$J$12</f>
        <v>3466</v>
      </c>
      <c r="O11" s="109">
        <f>'Исходные данные'!$J$13</f>
        <v>1335</v>
      </c>
      <c r="P11" s="109">
        <f>'Исходные данные'!$J$14</f>
        <v>0</v>
      </c>
      <c r="Q11" s="109">
        <f>'Исходные данные'!$J$15</f>
        <v>0</v>
      </c>
      <c r="R11" s="109">
        <f>'Исходные данные'!$J$16</f>
        <v>0</v>
      </c>
    </row>
    <row r="12" spans="1:18">
      <c r="A12" s="94"/>
      <c r="B12" s="80" t="s">
        <v>442</v>
      </c>
      <c r="C12" s="80"/>
      <c r="D12" s="105" t="s">
        <v>489</v>
      </c>
      <c r="E12" s="80"/>
      <c r="F12" s="109" t="str">
        <f>'Исходные данные'!$K$4</f>
        <v>Строгино</v>
      </c>
      <c r="G12" s="109" t="str">
        <f>'Исходные данные'!$K$5</f>
        <v>Строгино</v>
      </c>
      <c r="H12" s="109" t="str">
        <f>'Исходные данные'!$K$6</f>
        <v>Строгино</v>
      </c>
      <c r="I12" s="109" t="str">
        <f>'Исходные данные'!$K$7</f>
        <v>Строгино</v>
      </c>
      <c r="J12" s="109" t="str">
        <f>'Исходные данные'!$K$8</f>
        <v>Строгино</v>
      </c>
      <c r="K12" s="109" t="str">
        <f>'Исходные данные'!$K$9</f>
        <v>Строгино</v>
      </c>
      <c r="L12" s="109" t="str">
        <f>'Исходные данные'!$K$10</f>
        <v>Строгино</v>
      </c>
      <c r="M12" s="109" t="str">
        <f>'Исходные данные'!$K$11</f>
        <v>Строгино</v>
      </c>
      <c r="N12" s="109" t="str">
        <f>'Исходные данные'!$K$12</f>
        <v>Строгино</v>
      </c>
      <c r="O12" s="109" t="str">
        <f>'Исходные данные'!$K$13</f>
        <v>Строгино</v>
      </c>
      <c r="P12" s="109">
        <f>'Исходные данные'!$K$14</f>
        <v>0</v>
      </c>
      <c r="Q12" s="109">
        <f>'Исходные данные'!$K$15</f>
        <v>0</v>
      </c>
      <c r="R12" s="109">
        <f>'Исходные данные'!$K$16</f>
        <v>0</v>
      </c>
    </row>
    <row r="13" spans="1:18" ht="30">
      <c r="A13" s="94"/>
      <c r="B13" s="80" t="s">
        <v>598</v>
      </c>
      <c r="C13" s="80"/>
      <c r="D13" s="105" t="str">
        <f t="shared" si="0"/>
        <v>Снаружи ТТК</v>
      </c>
      <c r="E13" s="80"/>
      <c r="F13" s="109" t="str">
        <f>'Исходные данные'!$L$4</f>
        <v>Снаружи ТТК</v>
      </c>
      <c r="G13" s="109" t="str">
        <f>'Исходные данные'!$L$5</f>
        <v>Снаружи ТТК</v>
      </c>
      <c r="H13" s="109" t="str">
        <f>'Исходные данные'!$L$6</f>
        <v>Снаружи ТТК</v>
      </c>
      <c r="I13" s="109" t="str">
        <f>'Исходные данные'!$L$7</f>
        <v>Снаружи ТТК</v>
      </c>
      <c r="J13" s="109" t="str">
        <f>'Исходные данные'!$L$8</f>
        <v>Снаружи ТТК</v>
      </c>
      <c r="K13" s="109" t="str">
        <f>'Исходные данные'!$L$9</f>
        <v>Снаружи ТТК</v>
      </c>
      <c r="L13" s="109" t="str">
        <f>'Исходные данные'!$L$10</f>
        <v>Снаружи ТТК</v>
      </c>
      <c r="M13" s="109" t="str">
        <f>'Исходные данные'!$L$11</f>
        <v>Снаружи ТТК</v>
      </c>
      <c r="N13" s="109" t="str">
        <f>'Исходные данные'!$L$12</f>
        <v>Снаружи ТТК</v>
      </c>
      <c r="O13" s="109" t="str">
        <f>'Исходные данные'!$L$13</f>
        <v>Снаружи ТТК</v>
      </c>
      <c r="P13" s="109">
        <f>'Исходные данные'!$L$14</f>
        <v>0</v>
      </c>
      <c r="Q13" s="109">
        <f>'Исходные данные'!$L$15</f>
        <v>0</v>
      </c>
      <c r="R13" s="109">
        <f>'Исходные данные'!$L$16</f>
        <v>0</v>
      </c>
    </row>
    <row r="14" spans="1:18" ht="75">
      <c r="A14" s="94"/>
      <c r="B14" s="80" t="s">
        <v>439</v>
      </c>
      <c r="C14" s="78"/>
      <c r="D14" s="105" t="str">
        <f t="shared" si="0"/>
        <v>более 2 200 м (более 30 мин. пешком)</v>
      </c>
      <c r="E14" s="80"/>
      <c r="F14" s="109" t="str">
        <f>'Исходные данные'!$M$4</f>
        <v>более 2 200 м (более 30 мин. пешком)</v>
      </c>
      <c r="G14" s="109" t="str">
        <f>'Исходные данные'!$M$5</f>
        <v>более 2 200 м (более 30 мин. пешком)</v>
      </c>
      <c r="H14" s="109" t="str">
        <f>'Исходные данные'!$M$6</f>
        <v>более 2 200 м (более 30 мин. пешком)</v>
      </c>
      <c r="I14" s="109" t="str">
        <f>'Исходные данные'!$M$7</f>
        <v>более 2 200 м (более 30 мин. пешком)</v>
      </c>
      <c r="J14" s="109" t="str">
        <f>'Исходные данные'!$M$8</f>
        <v>более 2 200 м (более 30 мин. пешком)</v>
      </c>
      <c r="K14" s="109" t="str">
        <f>'Исходные данные'!$M$9</f>
        <v>более 2 200 м (более 30 мин. пешком)</v>
      </c>
      <c r="L14" s="109" t="str">
        <f>'Исходные данные'!$M$10</f>
        <v>более 2 200 м (более 30 мин. пешком)</v>
      </c>
      <c r="M14" s="109" t="str">
        <f>'Исходные данные'!$M$11</f>
        <v>более 2 200 м (более 30 мин. пешком)</v>
      </c>
      <c r="N14" s="109" t="str">
        <f>'Исходные данные'!$M$12</f>
        <v>более 2 200 м (более 30 мин. пешком)</v>
      </c>
      <c r="O14" s="109" t="str">
        <f>'Исходные данные'!$M$13</f>
        <v>более 2 200 м (более 30 мин. пешком)</v>
      </c>
      <c r="P14" s="109">
        <f>'Исходные данные'!$M$14</f>
        <v>0</v>
      </c>
      <c r="Q14" s="109">
        <f>'Исходные данные'!$M$15</f>
        <v>0</v>
      </c>
      <c r="R14" s="109">
        <f>'Исходные данные'!$M$16</f>
        <v>0</v>
      </c>
    </row>
    <row r="15" spans="1:18" ht="30">
      <c r="A15" s="94"/>
      <c r="B15" s="109" t="s">
        <v>437</v>
      </c>
      <c r="C15" s="80" t="s">
        <v>436</v>
      </c>
      <c r="D15" s="94">
        <f>LOOKUP(D14,Таблицы!C140:C142,Таблицы!B140:B142)</f>
        <v>1</v>
      </c>
      <c r="E15" s="80"/>
      <c r="F15" s="94">
        <f>LOOKUP(F14,Таблицы!$C$140:$C$142,Таблицы!$B$140:$B$142)</f>
        <v>1</v>
      </c>
      <c r="G15" s="94">
        <f>LOOKUP(G14,Таблицы!$C$140:$C$142,Таблицы!$B$140:$B$142)</f>
        <v>1</v>
      </c>
      <c r="H15" s="94">
        <f>LOOKUP(H14,Таблицы!$C$140:$C$142,Таблицы!$B$140:$B$142)</f>
        <v>1</v>
      </c>
      <c r="I15" s="94">
        <f>LOOKUP(I14,Таблицы!$C$140:$C$142,Таблицы!$B$140:$B$142)</f>
        <v>1</v>
      </c>
      <c r="J15" s="94">
        <f>LOOKUP(J14,Таблицы!$C$140:$C$142,Таблицы!$B$140:$B$142)</f>
        <v>1</v>
      </c>
      <c r="K15" s="94">
        <f>LOOKUP(K14,Таблицы!$C$140:$C$142,Таблицы!$B$140:$B$142)</f>
        <v>1</v>
      </c>
      <c r="L15" s="94">
        <f>LOOKUP(L14,Таблицы!$C$140:$C$142,Таблицы!$B$140:$B$142)</f>
        <v>1</v>
      </c>
      <c r="M15" s="94">
        <f>LOOKUP(M14,Таблицы!$C$140:$C$142,Таблицы!$B$140:$B$142)</f>
        <v>1</v>
      </c>
      <c r="N15" s="94">
        <f>LOOKUP(N14,Таблицы!$C$140:$C$142,Таблицы!$B$140:$B$142)</f>
        <v>1</v>
      </c>
      <c r="O15" s="94">
        <f>LOOKUP(O14,Таблицы!$C$140:$C$142,Таблицы!$B$140:$B$142)</f>
        <v>1</v>
      </c>
      <c r="P15" s="94" t="e">
        <f>LOOKUP(P14,Таблицы!$C$140:$C$142,Таблицы!$B$140:$B$142)</f>
        <v>#N/A</v>
      </c>
      <c r="Q15" s="94" t="e">
        <f>LOOKUP(Q14,Таблицы!$C$140:$C$142,Таблицы!$B$140:$B$142)</f>
        <v>#N/A</v>
      </c>
      <c r="R15" s="149"/>
    </row>
    <row r="16" spans="1:18" ht="45">
      <c r="A16" s="94"/>
      <c r="B16" s="109" t="s">
        <v>435</v>
      </c>
      <c r="C16" s="80" t="s">
        <v>124</v>
      </c>
      <c r="D16" s="94">
        <f>IF(LOOKUP(D13,Таблицы!$I$2:$I$3,Таблицы!$J$2:$J$3)=1,LOOKUP(D12,Таблицы!$B$4:$B$136,Таблицы!$C$4:$C$136),LOOKUP(D12,Таблицы!$B$4:$B$136,Таблицы!$D$4:$D$136))</f>
        <v>0.9</v>
      </c>
      <c r="E16" s="94"/>
      <c r="F16" s="94">
        <f>IF(LOOKUP(F13,Таблицы!$I$2:$I$3,Таблицы!$J$2:$J$3)=1,LOOKUP(F12,Таблицы!$B$4:$B$136,Таблицы!$C$4:$C$136),LOOKUP(F12,Таблицы!$B$4:$B$136,Таблицы!$D$4:$D$136))</f>
        <v>0.9</v>
      </c>
      <c r="G16" s="94">
        <f>IF(LOOKUP(G13,Таблицы!$I$2:$I$3,Таблицы!$J$2:$J$3)=1,LOOKUP(G12,Таблицы!$B$4:$B$136,Таблицы!$C$4:$C$136),LOOKUP(G12,Таблицы!$B$4:$B$136,Таблицы!$D$4:$D$136))</f>
        <v>0.9</v>
      </c>
      <c r="H16" s="94">
        <f>IF(LOOKUP(H13,Таблицы!$I$2:$I$3,Таблицы!$J$2:$J$3)=1,LOOKUP(H12,Таблицы!$B$4:$B$136,Таблицы!$C$4:$C$136),LOOKUP(H12,Таблицы!$B$4:$B$136,Таблицы!$D$4:$D$136))</f>
        <v>0.9</v>
      </c>
      <c r="I16" s="94">
        <f>IF(LOOKUP(I13,Таблицы!$I$2:$I$3,Таблицы!$J$2:$J$3)=1,LOOKUP(I12,Таблицы!$B$4:$B$136,Таблицы!$C$4:$C$136),LOOKUP(I12,Таблицы!$B$4:$B$136,Таблицы!$D$4:$D$136))</f>
        <v>0.9</v>
      </c>
      <c r="J16" s="94">
        <f>IF(LOOKUP(J13,Таблицы!$I$2:$I$3,Таблицы!$J$2:$J$3)=1,LOOKUP(J12,Таблицы!$B$4:$B$136,Таблицы!$C$4:$C$136),LOOKUP(J12,Таблицы!$B$4:$B$136,Таблицы!$D$4:$D$136))</f>
        <v>0.9</v>
      </c>
      <c r="K16" s="94">
        <f>IF(LOOKUP(K13,Таблицы!$I$2:$I$3,Таблицы!$J$2:$J$3)=1,LOOKUP(K12,Таблицы!$B$4:$B$136,Таблицы!$C$4:$C$136),LOOKUP(K12,Таблицы!$B$4:$B$136,Таблицы!$D$4:$D$136))</f>
        <v>0.9</v>
      </c>
      <c r="L16" s="94">
        <f>IF(LOOKUP(L13,Таблицы!$I$2:$I$3,Таблицы!$J$2:$J$3)=1,LOOKUP(L12,Таблицы!$B$4:$B$136,Таблицы!$C$4:$C$136),LOOKUP(L12,Таблицы!$B$4:$B$136,Таблицы!$D$4:$D$136))</f>
        <v>0.9</v>
      </c>
      <c r="M16" s="94">
        <f>IF(LOOKUP(M13,Таблицы!$I$2:$I$3,Таблицы!$J$2:$J$3)=1,LOOKUP(M12,Таблицы!$B$4:$B$136,Таблицы!$C$4:$C$136),LOOKUP(M12,Таблицы!$B$4:$B$136,Таблицы!$D$4:$D$136))</f>
        <v>0.9</v>
      </c>
      <c r="N16" s="94">
        <f>IF(LOOKUP(N13,Таблицы!$I$2:$I$3,Таблицы!$J$2:$J$3)=1,LOOKUP(N12,Таблицы!$B$4:$B$136,Таблицы!$C$4:$C$136),LOOKUP(N12,Таблицы!$B$4:$B$136,Таблицы!$D$4:$D$136))</f>
        <v>0.9</v>
      </c>
      <c r="O16" s="94">
        <f>IF(LOOKUP(O13,Таблицы!$I$2:$I$3,Таблицы!$J$2:$J$3)=1,LOOKUP(O12,Таблицы!$B$4:$B$136,Таблицы!$C$4:$C$136),LOOKUP(O12,Таблицы!$B$4:$B$136,Таблицы!$D$4:$D$136))</f>
        <v>0.9</v>
      </c>
      <c r="P16" s="94" t="e">
        <f>IF(LOOKUP(P13,Таблицы!$I$2:$I$3,Таблицы!$J$2:$J$3)=1,LOOKUP(P12,Таблицы!$B$4:$B$136,Таблицы!$C$4:$C$136),LOOKUP(P12,Таблицы!$B$4:$B$136,Таблицы!$D$4:$D$136))</f>
        <v>#N/A</v>
      </c>
      <c r="Q16" s="94" t="e">
        <f>IF(LOOKUP(Q13,Таблицы!$I$2:$I$3,Таблицы!$J$2:$J$3)=1,LOOKUP(Q12,Таблицы!$B$4:$B$136,Таблицы!$C$4:$C$136),LOOKUP(Q12,Таблицы!$B$4:$B$136,Таблицы!$D$4:$D$136))</f>
        <v>#N/A</v>
      </c>
      <c r="R16" s="149"/>
    </row>
    <row r="17" spans="1:18">
      <c r="A17" s="164"/>
      <c r="B17" s="231" t="s">
        <v>434</v>
      </c>
      <c r="C17" s="231"/>
      <c r="D17" s="231"/>
      <c r="E17" s="124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9"/>
    </row>
    <row r="18" spans="1:18" ht="94.5" customHeight="1">
      <c r="A18" s="164"/>
      <c r="B18" s="114" t="s">
        <v>668</v>
      </c>
      <c r="C18" s="80" t="s">
        <v>423</v>
      </c>
      <c r="D18" s="105">
        <f t="shared" ref="D18" si="1">LOOKUP($B$1,E$1:AT$1,E18:AT18)</f>
        <v>33</v>
      </c>
      <c r="E18" s="94"/>
      <c r="F18" s="94">
        <f>LOOKUP(F4,Таблицы!$B169:$B171,Таблицы!$D169:$D171)</f>
        <v>33</v>
      </c>
      <c r="G18" s="94">
        <f>LOOKUP(G4,Таблицы!$B169:$B171,Таблицы!$D169:$D171)</f>
        <v>33</v>
      </c>
      <c r="H18" s="94">
        <f>LOOKUP(H4,Таблицы!$B169:$B171,Таблицы!$D169:$D171)</f>
        <v>33</v>
      </c>
      <c r="I18" s="94">
        <f>LOOKUP(I4,Таблицы!$B169:$B171,Таблицы!$D169:$D171)</f>
        <v>33</v>
      </c>
      <c r="J18" s="94">
        <f>LOOKUP(J4,Таблицы!$B169:$B171,Таблицы!$D169:$D171)</f>
        <v>33</v>
      </c>
      <c r="K18" s="94">
        <f>LOOKUP(K4,Таблицы!$B169:$B171,Таблицы!$D169:$D171)</f>
        <v>33</v>
      </c>
      <c r="L18" s="94">
        <f>LOOKUP(L4,Таблицы!$B169:$B171,Таблицы!$D169:$D171)</f>
        <v>33</v>
      </c>
      <c r="M18" s="94">
        <f>LOOKUP(M4,Таблицы!$B169:$B171,Таблицы!$D169:$D171)</f>
        <v>33</v>
      </c>
      <c r="N18" s="94">
        <f>LOOKUP(N4,Таблицы!$B169:$B171,Таблицы!$D169:$D171)</f>
        <v>33</v>
      </c>
      <c r="O18" s="94">
        <f>LOOKUP(O4,Таблицы!$B169:$B171,Таблицы!$D169:$D171)</f>
        <v>33</v>
      </c>
      <c r="P18" s="94" t="e">
        <f>LOOKUP(P4,Таблицы!$B169:$B171,Таблицы!$D169:$D171)</f>
        <v>#N/A</v>
      </c>
      <c r="Q18" s="94" t="e">
        <f>LOOKUP(Q4,Таблицы!$B169:$B171,Таблицы!$D169:$D171)</f>
        <v>#N/A</v>
      </c>
      <c r="R18" s="149"/>
    </row>
    <row r="19" spans="1:18" ht="30">
      <c r="A19" s="164"/>
      <c r="B19" s="109" t="s">
        <v>433</v>
      </c>
      <c r="C19" s="80" t="s">
        <v>432</v>
      </c>
      <c r="D19" s="112">
        <v>0.25700000000000001</v>
      </c>
      <c r="E19" s="94"/>
      <c r="F19" s="94">
        <f t="shared" ref="F19:Q19" si="2">$D19</f>
        <v>0.25700000000000001</v>
      </c>
      <c r="G19" s="94">
        <f t="shared" si="2"/>
        <v>0.25700000000000001</v>
      </c>
      <c r="H19" s="94">
        <f t="shared" si="2"/>
        <v>0.25700000000000001</v>
      </c>
      <c r="I19" s="94">
        <f t="shared" si="2"/>
        <v>0.25700000000000001</v>
      </c>
      <c r="J19" s="94">
        <f t="shared" si="2"/>
        <v>0.25700000000000001</v>
      </c>
      <c r="K19" s="94">
        <f t="shared" si="2"/>
        <v>0.25700000000000001</v>
      </c>
      <c r="L19" s="94">
        <f t="shared" si="2"/>
        <v>0.25700000000000001</v>
      </c>
      <c r="M19" s="94">
        <f t="shared" si="2"/>
        <v>0.25700000000000001</v>
      </c>
      <c r="N19" s="94">
        <f t="shared" si="2"/>
        <v>0.25700000000000001</v>
      </c>
      <c r="O19" s="94">
        <f t="shared" si="2"/>
        <v>0.25700000000000001</v>
      </c>
      <c r="P19" s="94">
        <f t="shared" si="2"/>
        <v>0.25700000000000001</v>
      </c>
      <c r="Q19" s="94">
        <f t="shared" si="2"/>
        <v>0.25700000000000001</v>
      </c>
      <c r="R19" s="149"/>
    </row>
    <row r="20" spans="1:18">
      <c r="A20" s="94">
        <f>ROUNDUP((D8/D18)*D19*D15,0)</f>
        <v>402</v>
      </c>
      <c r="B20" s="232" t="str">
        <f>"Nп= (S/S1) × A × К1 = ("&amp;D8&amp;" / "&amp;D18&amp;") x "&amp;D19&amp;" x "&amp;D15&amp;" ="&amp;ROUNDUP((D8/D18)*D19*D15,0)&amp;" (шт.)"</f>
        <v>Nп= (S/S1) × A × К1 = (51539.3 / 33) x 0.257 x 1 =402 (шт.)</v>
      </c>
      <c r="C20" s="232"/>
      <c r="D20" s="232"/>
      <c r="E20" s="94"/>
      <c r="F20" s="94">
        <f t="shared" ref="F20:I20" si="3">ROUNDUP((F8/F18)*F19*F15,0)</f>
        <v>251</v>
      </c>
      <c r="G20" s="94">
        <f t="shared" si="3"/>
        <v>371</v>
      </c>
      <c r="H20" s="94">
        <f t="shared" si="3"/>
        <v>235</v>
      </c>
      <c r="I20" s="94">
        <f t="shared" si="3"/>
        <v>136</v>
      </c>
      <c r="J20" s="94">
        <f>ROUNDUP((J8/J18)*J19*J15,0)</f>
        <v>402</v>
      </c>
      <c r="K20" s="94">
        <f t="shared" ref="K20:O20" si="4">ROUNDUP((K8/K18)*K19*K15,0)</f>
        <v>220</v>
      </c>
      <c r="L20" s="94">
        <f t="shared" si="4"/>
        <v>183</v>
      </c>
      <c r="M20" s="94">
        <f t="shared" si="4"/>
        <v>430</v>
      </c>
      <c r="N20" s="94">
        <f t="shared" si="4"/>
        <v>188</v>
      </c>
      <c r="O20" s="94">
        <f t="shared" si="4"/>
        <v>242</v>
      </c>
      <c r="P20" s="94" t="e">
        <f t="shared" ref="P20:Q20" si="5">ROUNDUP((P8/P18)*P19*P15,0)</f>
        <v>#N/A</v>
      </c>
      <c r="Q20" s="94" t="e">
        <f t="shared" si="5"/>
        <v>#N/A</v>
      </c>
      <c r="R20" s="149"/>
    </row>
    <row r="21" spans="1:18">
      <c r="A21" s="94">
        <f>ROUNDUP(A20*0.9,0)</f>
        <v>362</v>
      </c>
      <c r="B21" s="232" t="str">
        <f>"Nп-10%= Nп х 90% = "&amp;A20&amp;" х 90% = "&amp;ROUNDUP(A20*0.9,0)&amp;" (шт.) - с учётом допустимого отклонения 10%"</f>
        <v>Nп-10%= Nп х 90% = 402 х 90% = 362 (шт.) - с учётом допустимого отклонения 10%</v>
      </c>
      <c r="C21" s="232"/>
      <c r="D21" s="232"/>
      <c r="E21" s="94"/>
      <c r="F21" s="94">
        <f t="shared" ref="F21" si="6">ROUNDUP(F20*0.9,0)</f>
        <v>226</v>
      </c>
      <c r="G21" s="94">
        <f t="shared" ref="G21:O21" si="7">ROUNDUP(G20*0.9,0)</f>
        <v>334</v>
      </c>
      <c r="H21" s="94">
        <f t="shared" si="7"/>
        <v>212</v>
      </c>
      <c r="I21" s="94">
        <f t="shared" si="7"/>
        <v>123</v>
      </c>
      <c r="J21" s="94">
        <f t="shared" si="7"/>
        <v>362</v>
      </c>
      <c r="K21" s="94">
        <f t="shared" si="7"/>
        <v>198</v>
      </c>
      <c r="L21" s="94">
        <f t="shared" si="7"/>
        <v>165</v>
      </c>
      <c r="M21" s="94">
        <f t="shared" si="7"/>
        <v>387</v>
      </c>
      <c r="N21" s="94">
        <f t="shared" si="7"/>
        <v>170</v>
      </c>
      <c r="O21" s="94">
        <f t="shared" si="7"/>
        <v>218</v>
      </c>
      <c r="P21" s="94" t="e">
        <f t="shared" ref="P21:Q21" si="8">ROUNDUP(P20*0.9,0)</f>
        <v>#N/A</v>
      </c>
      <c r="Q21" s="94" t="e">
        <f t="shared" si="8"/>
        <v>#N/A</v>
      </c>
      <c r="R21" s="149"/>
    </row>
    <row r="22" spans="1:18">
      <c r="A22" s="94">
        <f>ROUNDDOWN(A20*1.1,0)</f>
        <v>442</v>
      </c>
      <c r="B22" s="232" t="str">
        <f>"Nп+10%= Nп х 110% = "&amp;A20&amp;" х 110% = "&amp;ROUNDDOWN(A20*1.1,0)&amp;" (шт.) - с учётом допустимого отклонения 10%"</f>
        <v>Nп+10%= Nп х 110% = 402 х 110% = 442 (шт.) - с учётом допустимого отклонения 10%</v>
      </c>
      <c r="C22" s="232"/>
      <c r="D22" s="232"/>
      <c r="E22" s="94"/>
      <c r="F22" s="94">
        <f t="shared" ref="F22" si="9">ROUNDDOWN(F20*1.1,0)</f>
        <v>276</v>
      </c>
      <c r="G22" s="94">
        <f t="shared" ref="G22:O22" si="10">ROUNDDOWN(G20*1.1,0)</f>
        <v>408</v>
      </c>
      <c r="H22" s="94">
        <f t="shared" si="10"/>
        <v>258</v>
      </c>
      <c r="I22" s="94">
        <f t="shared" si="10"/>
        <v>149</v>
      </c>
      <c r="J22" s="94">
        <f t="shared" si="10"/>
        <v>442</v>
      </c>
      <c r="K22" s="94">
        <f t="shared" si="10"/>
        <v>242</v>
      </c>
      <c r="L22" s="94">
        <f t="shared" si="10"/>
        <v>201</v>
      </c>
      <c r="M22" s="94">
        <f t="shared" si="10"/>
        <v>473</v>
      </c>
      <c r="N22" s="94">
        <f t="shared" si="10"/>
        <v>206</v>
      </c>
      <c r="O22" s="94">
        <f t="shared" si="10"/>
        <v>266</v>
      </c>
      <c r="P22" s="94" t="e">
        <f t="shared" ref="P22:Q22" si="11">ROUNDDOWN(P20*1.1,0)</f>
        <v>#N/A</v>
      </c>
      <c r="Q22" s="94" t="e">
        <f t="shared" si="11"/>
        <v>#N/A</v>
      </c>
      <c r="R22" s="149"/>
    </row>
    <row r="23" spans="1:18">
      <c r="A23" s="94"/>
      <c r="B23" s="233" t="s">
        <v>431</v>
      </c>
      <c r="C23" s="233"/>
      <c r="D23" s="233"/>
      <c r="E23" s="80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49"/>
    </row>
    <row r="24" spans="1:18">
      <c r="A24" s="94"/>
      <c r="B24" s="231" t="s">
        <v>597</v>
      </c>
      <c r="C24" s="231"/>
      <c r="D24" s="231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49"/>
    </row>
    <row r="25" spans="1:18">
      <c r="A25" s="94">
        <f>ROUNDUP(A20*0.1,0)</f>
        <v>41</v>
      </c>
      <c r="B25" s="232" t="str">
        <f>"Nг= Nп х 10% = "&amp;A20&amp;" х 10% = "&amp;ROUNDUP(A20*0.1,0)&amp;" (шт.)"</f>
        <v>Nг= Nп х 10% = 402 х 10% = 41 (шт.)</v>
      </c>
      <c r="C25" s="232"/>
      <c r="D25" s="232"/>
      <c r="E25" s="94"/>
      <c r="F25" s="94">
        <f t="shared" ref="F25" si="12">ROUNDUP(F20*0.1,0)</f>
        <v>26</v>
      </c>
      <c r="G25" s="94">
        <f t="shared" ref="G25:O25" si="13">ROUNDUP(G20*0.1,0)</f>
        <v>38</v>
      </c>
      <c r="H25" s="94">
        <f t="shared" si="13"/>
        <v>24</v>
      </c>
      <c r="I25" s="94">
        <f t="shared" si="13"/>
        <v>14</v>
      </c>
      <c r="J25" s="94">
        <f t="shared" si="13"/>
        <v>41</v>
      </c>
      <c r="K25" s="94">
        <f t="shared" si="13"/>
        <v>22</v>
      </c>
      <c r="L25" s="94">
        <f t="shared" si="13"/>
        <v>19</v>
      </c>
      <c r="M25" s="94">
        <f t="shared" si="13"/>
        <v>43</v>
      </c>
      <c r="N25" s="94">
        <f t="shared" si="13"/>
        <v>19</v>
      </c>
      <c r="O25" s="94">
        <f t="shared" si="13"/>
        <v>25</v>
      </c>
      <c r="P25" s="94" t="e">
        <f t="shared" ref="P25:Q25" si="14">ROUNDUP(P20*0.1,0)</f>
        <v>#N/A</v>
      </c>
      <c r="Q25" s="94" t="e">
        <f t="shared" si="14"/>
        <v>#N/A</v>
      </c>
      <c r="R25" s="149"/>
    </row>
    <row r="26" spans="1:18">
      <c r="A26" s="94">
        <f>ROUNDUP(A25*0.9,0)</f>
        <v>37</v>
      </c>
      <c r="B26" s="232" t="str">
        <f>"Nг-10%= Nг х 90% = "&amp;A25&amp;" х 90% = "&amp;ROUNDUP(A25*0.9,0)&amp;" (шт.) - с учётом допустимого отклонения 10%"</f>
        <v>Nг-10%= Nг х 90% = 41 х 90% = 37 (шт.) - с учётом допустимого отклонения 10%</v>
      </c>
      <c r="C26" s="232"/>
      <c r="D26" s="232"/>
      <c r="E26" s="94"/>
      <c r="F26" s="94">
        <f t="shared" ref="F26" si="15">ROUNDUP(F25*0.9,0)</f>
        <v>24</v>
      </c>
      <c r="G26" s="94">
        <f t="shared" ref="G26:O26" si="16">ROUNDUP(G25*0.9,0)</f>
        <v>35</v>
      </c>
      <c r="H26" s="94">
        <f t="shared" si="16"/>
        <v>22</v>
      </c>
      <c r="I26" s="94">
        <f t="shared" si="16"/>
        <v>13</v>
      </c>
      <c r="J26" s="94">
        <f t="shared" si="16"/>
        <v>37</v>
      </c>
      <c r="K26" s="94">
        <f t="shared" si="16"/>
        <v>20</v>
      </c>
      <c r="L26" s="94">
        <f t="shared" si="16"/>
        <v>18</v>
      </c>
      <c r="M26" s="94">
        <f t="shared" si="16"/>
        <v>39</v>
      </c>
      <c r="N26" s="94">
        <f t="shared" si="16"/>
        <v>18</v>
      </c>
      <c r="O26" s="94">
        <f t="shared" si="16"/>
        <v>23</v>
      </c>
      <c r="P26" s="94" t="e">
        <f t="shared" ref="P26:Q26" si="17">ROUNDUP(P25*0.9,0)</f>
        <v>#N/A</v>
      </c>
      <c r="Q26" s="94" t="e">
        <f t="shared" si="17"/>
        <v>#N/A</v>
      </c>
      <c r="R26" s="149"/>
    </row>
    <row r="27" spans="1:18">
      <c r="A27" s="94">
        <f>ROUNDDOWN(A25*1.1,0)</f>
        <v>45</v>
      </c>
      <c r="B27" s="232" t="str">
        <f>"Nг+10%= Nг х 110% = "&amp;A25&amp;" х 110% = "&amp;ROUNDDOWN(A25*1.1,0)&amp;" (шт.) - с учётом допустимого отклонения 10%"</f>
        <v>Nг+10%= Nг х 110% = 41 х 110% = 45 (шт.) - с учётом допустимого отклонения 10%</v>
      </c>
      <c r="C27" s="232"/>
      <c r="D27" s="232"/>
      <c r="E27" s="94"/>
      <c r="F27" s="94">
        <f t="shared" ref="F27" si="18">ROUNDDOWN(F25*1.1,0)</f>
        <v>28</v>
      </c>
      <c r="G27" s="94">
        <f t="shared" ref="G27:O27" si="19">ROUNDDOWN(G25*1.1,0)</f>
        <v>41</v>
      </c>
      <c r="H27" s="94">
        <f t="shared" si="19"/>
        <v>26</v>
      </c>
      <c r="I27" s="94">
        <f t="shared" si="19"/>
        <v>15</v>
      </c>
      <c r="J27" s="94">
        <f t="shared" si="19"/>
        <v>45</v>
      </c>
      <c r="K27" s="94">
        <f t="shared" si="19"/>
        <v>24</v>
      </c>
      <c r="L27" s="94">
        <f t="shared" si="19"/>
        <v>20</v>
      </c>
      <c r="M27" s="94">
        <f t="shared" si="19"/>
        <v>47</v>
      </c>
      <c r="N27" s="94">
        <f t="shared" si="19"/>
        <v>20</v>
      </c>
      <c r="O27" s="94">
        <f t="shared" si="19"/>
        <v>27</v>
      </c>
      <c r="P27" s="94" t="e">
        <f t="shared" ref="P27:Q27" si="20">ROUNDDOWN(P25*1.1,0)</f>
        <v>#N/A</v>
      </c>
      <c r="Q27" s="94" t="e">
        <f t="shared" si="20"/>
        <v>#N/A</v>
      </c>
      <c r="R27" s="149"/>
    </row>
    <row r="28" spans="1:18" ht="47.25" customHeight="1">
      <c r="A28" s="115">
        <f>ROUNDUP(A25*0.1,0)</f>
        <v>5</v>
      </c>
      <c r="B28" s="232" t="str">
        <f>"Из них для МГН: Nг(МГН)= Nг х 10% = "&amp;A25&amp;" х 90% = "&amp;A28&amp;" (шт.), в т.ч. увеличенных размеров: "&amp;A29&amp;" (шт.) - не далее 100м, либо  не далее 200м от входной группы с устройством промежуточных площадок с навесами каждые 100м и кратковременной остановкой не далее 50м от входа"</f>
        <v>Из них для МГН: Nг(МГН)= Nг х 10% = 41 х 90% = 5 (шт.), в т.ч. увеличенных размеров: 3 (шт.) - не далее 100м, либо  не далее 200м от входной группы с устройством промежуточных площадок с навесами каждые 100м и кратковременной остановкой не далее 50м от входа</v>
      </c>
      <c r="C28" s="232"/>
      <c r="D28" s="232"/>
      <c r="E28" s="115"/>
      <c r="F28" s="115">
        <f t="shared" ref="F28" si="21">ROUNDUP(F25*0.1,0)</f>
        <v>3</v>
      </c>
      <c r="G28" s="115">
        <f t="shared" ref="G28:O28" si="22">ROUNDUP(G25*0.1,0)</f>
        <v>4</v>
      </c>
      <c r="H28" s="115">
        <f t="shared" si="22"/>
        <v>3</v>
      </c>
      <c r="I28" s="115">
        <f t="shared" si="22"/>
        <v>2</v>
      </c>
      <c r="J28" s="115">
        <f t="shared" si="22"/>
        <v>5</v>
      </c>
      <c r="K28" s="115">
        <f t="shared" si="22"/>
        <v>3</v>
      </c>
      <c r="L28" s="115">
        <f t="shared" si="22"/>
        <v>2</v>
      </c>
      <c r="M28" s="115">
        <f t="shared" si="22"/>
        <v>5</v>
      </c>
      <c r="N28" s="115">
        <f t="shared" si="22"/>
        <v>2</v>
      </c>
      <c r="O28" s="115">
        <f t="shared" si="22"/>
        <v>3</v>
      </c>
      <c r="P28" s="115" t="e">
        <f t="shared" ref="P28:Q28" si="23">ROUNDUP(P25*0.1,0)</f>
        <v>#N/A</v>
      </c>
      <c r="Q28" s="115" t="e">
        <f t="shared" si="23"/>
        <v>#N/A</v>
      </c>
      <c r="R28" s="149"/>
    </row>
    <row r="29" spans="1:18">
      <c r="A29" s="116">
        <f>IF(A25&lt;=100,ROUNDUP(A25*0.05,0),IF(A25&lt;=200,5+ROUNDUP((A25-100)*0.03,0),IF(A25&lt;=500,8+ROUNDUP((A25-200)*0.02,0),14+ROUNDUP((A25-500)*0.01,0))))</f>
        <v>3</v>
      </c>
      <c r="B29" s="231" t="s">
        <v>606</v>
      </c>
      <c r="C29" s="231"/>
      <c r="D29" s="231"/>
      <c r="E29" s="116"/>
      <c r="F29" s="116">
        <f t="shared" ref="F29:O29" si="24">IF(F25&lt;=100,ROUNDUP(F25*0.05,0),IF(F25&lt;=200,5+ROUNDUP((F25-100)*0.03,0),IF(F25&lt;=500,8+ROUNDUP((F25-200)*0.02,0),14+ROUNDUP((F25-500)*0.01,0))))</f>
        <v>2</v>
      </c>
      <c r="G29" s="116">
        <f t="shared" si="24"/>
        <v>2</v>
      </c>
      <c r="H29" s="116">
        <f t="shared" si="24"/>
        <v>2</v>
      </c>
      <c r="I29" s="116">
        <f t="shared" si="24"/>
        <v>1</v>
      </c>
      <c r="J29" s="116">
        <f t="shared" si="24"/>
        <v>3</v>
      </c>
      <c r="K29" s="116">
        <f t="shared" si="24"/>
        <v>2</v>
      </c>
      <c r="L29" s="116">
        <f t="shared" si="24"/>
        <v>1</v>
      </c>
      <c r="M29" s="116">
        <f t="shared" si="24"/>
        <v>3</v>
      </c>
      <c r="N29" s="116">
        <f t="shared" si="24"/>
        <v>1</v>
      </c>
      <c r="O29" s="116">
        <f t="shared" si="24"/>
        <v>2</v>
      </c>
      <c r="P29" s="116" t="e">
        <f t="shared" ref="P29:Q29" si="25">IF(P25&lt;=100,ROUNDUP(P25*0.05,0),IF(P25&lt;=200,5+ROUNDUP((P25-100)*0.03,0),IF(P25&lt;=500,8+ROUNDUP((P25-200)*0.02,0),14+ROUNDUP((P25-500)*0.01,0))))</f>
        <v>#N/A</v>
      </c>
      <c r="Q29" s="116" t="e">
        <f t="shared" si="25"/>
        <v>#N/A</v>
      </c>
      <c r="R29" s="149"/>
    </row>
    <row r="30" spans="1:18" ht="45">
      <c r="A30" s="94"/>
      <c r="B30" s="114" t="s">
        <v>430</v>
      </c>
      <c r="C30" s="117" t="s">
        <v>429</v>
      </c>
      <c r="D30" s="94">
        <v>90</v>
      </c>
      <c r="E30" s="94"/>
      <c r="F30" s="94">
        <f t="shared" ref="F30:Q30" si="26">$D30</f>
        <v>90</v>
      </c>
      <c r="G30" s="94">
        <f t="shared" si="26"/>
        <v>90</v>
      </c>
      <c r="H30" s="94">
        <f t="shared" si="26"/>
        <v>90</v>
      </c>
      <c r="I30" s="94">
        <f t="shared" si="26"/>
        <v>90</v>
      </c>
      <c r="J30" s="94">
        <f t="shared" si="26"/>
        <v>90</v>
      </c>
      <c r="K30" s="94">
        <f t="shared" si="26"/>
        <v>90</v>
      </c>
      <c r="L30" s="94">
        <f t="shared" si="26"/>
        <v>90</v>
      </c>
      <c r="M30" s="94">
        <f t="shared" si="26"/>
        <v>90</v>
      </c>
      <c r="N30" s="94">
        <f t="shared" si="26"/>
        <v>90</v>
      </c>
      <c r="O30" s="94">
        <f t="shared" si="26"/>
        <v>90</v>
      </c>
      <c r="P30" s="94">
        <f t="shared" si="26"/>
        <v>90</v>
      </c>
      <c r="Q30" s="94">
        <f t="shared" si="26"/>
        <v>90</v>
      </c>
      <c r="R30" s="149"/>
    </row>
    <row r="31" spans="1:18">
      <c r="A31" s="94">
        <f>ROUNDUP((D11/D30)*D15*D16,0)</f>
        <v>41</v>
      </c>
      <c r="B31" s="232" t="str">
        <f>"Nв = X / Х2 x K1 x K2 = ("&amp;D11&amp;" / "&amp;D30&amp;") x "&amp;D15&amp;" x "&amp;D16&amp;" = "&amp;ROUNDUP((D11/D30)*D15*D16,0)&amp;" (шт.)"</f>
        <v>Nв = X / Х2 x K1 x K2 = (4048 / 90) x 1 x 0.9 = 41 (шт.)</v>
      </c>
      <c r="C31" s="232"/>
      <c r="D31" s="232"/>
      <c r="E31" s="94"/>
      <c r="F31" s="94">
        <f>ROUNDUP((F11/F30)*F15*F16,0)</f>
        <v>22</v>
      </c>
      <c r="G31" s="94">
        <f t="shared" ref="G31:O31" si="27">ROUNDUP((G11/G30)*G15*G16,0)</f>
        <v>25</v>
      </c>
      <c r="H31" s="94">
        <f t="shared" si="27"/>
        <v>12</v>
      </c>
      <c r="I31" s="94">
        <f t="shared" si="27"/>
        <v>14</v>
      </c>
      <c r="J31" s="94">
        <f t="shared" si="27"/>
        <v>41</v>
      </c>
      <c r="K31" s="94">
        <f t="shared" si="27"/>
        <v>28</v>
      </c>
      <c r="L31" s="94">
        <f t="shared" si="27"/>
        <v>13</v>
      </c>
      <c r="M31" s="94">
        <f t="shared" si="27"/>
        <v>49</v>
      </c>
      <c r="N31" s="94">
        <f t="shared" si="27"/>
        <v>35</v>
      </c>
      <c r="O31" s="94">
        <f t="shared" si="27"/>
        <v>14</v>
      </c>
      <c r="P31" s="94" t="e">
        <f t="shared" ref="P31:Q31" si="28">ROUNDUP((P11/P30)*P15*P16,0)</f>
        <v>#N/A</v>
      </c>
      <c r="Q31" s="94" t="e">
        <f t="shared" si="28"/>
        <v>#N/A</v>
      </c>
      <c r="R31" s="149"/>
    </row>
    <row r="32" spans="1:18">
      <c r="A32" s="94">
        <f>ROUNDUP(A31*0.7,0)</f>
        <v>29</v>
      </c>
      <c r="B32" s="232" t="str">
        <f>"Nв-30%= Nв х 70% = "&amp;A31&amp;" х 70% = "&amp;ROUNDUP(A31*0.7,0)&amp;" (шт.) - с учётом допустимого отклонения 30%"</f>
        <v>Nв-30%= Nв х 70% = 41 х 70% = 29 (шт.) - с учётом допустимого отклонения 30%</v>
      </c>
      <c r="C32" s="232"/>
      <c r="D32" s="232"/>
      <c r="E32" s="111"/>
      <c r="F32" s="111">
        <f t="shared" ref="F32" si="29">ROUNDUP(F31*0.7,0)</f>
        <v>16</v>
      </c>
      <c r="G32" s="111">
        <f t="shared" ref="G32:O32" si="30">ROUNDUP(G31*0.7,0)</f>
        <v>18</v>
      </c>
      <c r="H32" s="111">
        <f t="shared" si="30"/>
        <v>9</v>
      </c>
      <c r="I32" s="111">
        <f t="shared" si="30"/>
        <v>10</v>
      </c>
      <c r="J32" s="111">
        <f t="shared" si="30"/>
        <v>29</v>
      </c>
      <c r="K32" s="111">
        <f t="shared" si="30"/>
        <v>20</v>
      </c>
      <c r="L32" s="111">
        <f t="shared" si="30"/>
        <v>10</v>
      </c>
      <c r="M32" s="111">
        <f t="shared" si="30"/>
        <v>35</v>
      </c>
      <c r="N32" s="111">
        <f t="shared" si="30"/>
        <v>25</v>
      </c>
      <c r="O32" s="111">
        <f t="shared" si="30"/>
        <v>10</v>
      </c>
      <c r="P32" s="111" t="e">
        <f t="shared" ref="P32:Q32" si="31">ROUNDUP(P31*0.7,0)</f>
        <v>#N/A</v>
      </c>
      <c r="Q32" s="111" t="e">
        <f t="shared" si="31"/>
        <v>#N/A</v>
      </c>
      <c r="R32" s="149"/>
    </row>
    <row r="33" spans="1:18">
      <c r="A33" s="94">
        <f>ROUNDDOWN(A31*1.3,0)</f>
        <v>53</v>
      </c>
      <c r="B33" s="232" t="str">
        <f>"Nв+30%= Nв х 130% = "&amp;A32&amp;" х 130% = "&amp;ROUNDDOWN(A31*1.3,0)&amp;" (шт.) - с учётом допустимого отклонения 30%"</f>
        <v>Nв+30%= Nв х 130% = 29 х 130% = 53 (шт.) - с учётом допустимого отклонения 30%</v>
      </c>
      <c r="C33" s="232"/>
      <c r="D33" s="232"/>
      <c r="E33" s="94"/>
      <c r="F33" s="94">
        <f t="shared" ref="F33" si="32">ROUNDDOWN(F31*1.3,0)</f>
        <v>28</v>
      </c>
      <c r="G33" s="94">
        <f t="shared" ref="G33:O33" si="33">ROUNDDOWN(G31*1.3,0)</f>
        <v>32</v>
      </c>
      <c r="H33" s="94">
        <f t="shared" si="33"/>
        <v>15</v>
      </c>
      <c r="I33" s="94">
        <f t="shared" si="33"/>
        <v>18</v>
      </c>
      <c r="J33" s="94">
        <f t="shared" si="33"/>
        <v>53</v>
      </c>
      <c r="K33" s="94">
        <f t="shared" si="33"/>
        <v>36</v>
      </c>
      <c r="L33" s="94">
        <f t="shared" si="33"/>
        <v>16</v>
      </c>
      <c r="M33" s="94">
        <f t="shared" si="33"/>
        <v>63</v>
      </c>
      <c r="N33" s="94">
        <f t="shared" si="33"/>
        <v>45</v>
      </c>
      <c r="O33" s="94">
        <f t="shared" si="33"/>
        <v>18</v>
      </c>
      <c r="P33" s="94" t="e">
        <f t="shared" ref="P33:Q33" si="34">ROUNDDOWN(P31*1.3,0)</f>
        <v>#N/A</v>
      </c>
      <c r="Q33" s="94" t="e">
        <f t="shared" si="34"/>
        <v>#N/A</v>
      </c>
      <c r="R33" s="149"/>
    </row>
    <row r="34" spans="1:18" ht="48.75" customHeight="1">
      <c r="A34" s="115">
        <f>ROUNDUP(A31*0.1,0)</f>
        <v>5</v>
      </c>
      <c r="B34" s="232" t="str">
        <f>"Из них для МГН: Nв(МГН)= Nв х 10% = "&amp;A31&amp;" х 10% = "&amp;A34&amp;" (шт.), в т.ч. увеличенных размеров: "&amp;A35&amp;" (шт.) - не далее 50м, либо  не далее 200м от входной группы с устройством промежуточных площадок с навесами каждые 100м и кратковременной остановкой не далее 50м от входа"</f>
        <v>Из них для МГН: Nв(МГН)= Nв х 10% = 41 х 10% = 5 (шт.), в т.ч. увеличенных размеров: 3 (шт.) - не далее 50м, либо  не далее 200м от входной группы с устройством промежуточных площадок с навесами каждые 100м и кратковременной остановкой не далее 50м от входа</v>
      </c>
      <c r="C34" s="232"/>
      <c r="D34" s="232"/>
      <c r="E34" s="118"/>
      <c r="F34" s="118">
        <f t="shared" ref="F34" si="35">ROUNDUP(F31*0.1,0)</f>
        <v>3</v>
      </c>
      <c r="G34" s="118">
        <f t="shared" ref="G34:O34" si="36">ROUNDUP(G31*0.1,0)</f>
        <v>3</v>
      </c>
      <c r="H34" s="118">
        <f t="shared" si="36"/>
        <v>2</v>
      </c>
      <c r="I34" s="118">
        <f t="shared" si="36"/>
        <v>2</v>
      </c>
      <c r="J34" s="118">
        <f t="shared" si="36"/>
        <v>5</v>
      </c>
      <c r="K34" s="118">
        <f t="shared" si="36"/>
        <v>3</v>
      </c>
      <c r="L34" s="118">
        <f t="shared" si="36"/>
        <v>2</v>
      </c>
      <c r="M34" s="118">
        <f t="shared" si="36"/>
        <v>5</v>
      </c>
      <c r="N34" s="118">
        <f t="shared" si="36"/>
        <v>4</v>
      </c>
      <c r="O34" s="118">
        <f t="shared" si="36"/>
        <v>2</v>
      </c>
      <c r="P34" s="118" t="e">
        <f t="shared" ref="P34:Q34" si="37">ROUNDUP(P31*0.1,0)</f>
        <v>#N/A</v>
      </c>
      <c r="Q34" s="118" t="e">
        <f t="shared" si="37"/>
        <v>#N/A</v>
      </c>
      <c r="R34" s="149"/>
    </row>
    <row r="35" spans="1:18">
      <c r="A35" s="116">
        <f>IF(A31&lt;=100,ROUNDUP(A31*0.05,0),IF(A31&lt;=200,5+ROUNDUP((A31-100)*0.03,0),IF(A31&lt;=500,8+ROUNDUP((A31-200)*0.02,0),14+ROUNDUP((A31-500)*0.01,0))))</f>
        <v>3</v>
      </c>
      <c r="B35" s="231" t="s">
        <v>428</v>
      </c>
      <c r="C35" s="231"/>
      <c r="D35" s="231"/>
      <c r="E35" s="116"/>
      <c r="F35" s="116">
        <f t="shared" ref="F35" si="38">IF(F31&lt;=100,ROUNDUP(F31*0.05,0),IF(F31&lt;=200,5+ROUNDUP((F31-100)*0.03,0),IF(F31&lt;=500,8+ROUNDUP((F31-200)*0.02,0),14+ROUNDUP((F31-500)*0.01,0))))</f>
        <v>2</v>
      </c>
      <c r="G35" s="116">
        <f t="shared" ref="G35:O35" si="39">IF(G31&lt;=100,ROUNDUP(G31*0.05,0),IF(G31&lt;=200,5+ROUNDUP((G31-100)*0.03,0),IF(G31&lt;=500,8+ROUNDUP((G31-200)*0.02,0),14+ROUNDUP((G31-500)*0.01,0))))</f>
        <v>2</v>
      </c>
      <c r="H35" s="116">
        <f t="shared" si="39"/>
        <v>1</v>
      </c>
      <c r="I35" s="116">
        <f t="shared" si="39"/>
        <v>1</v>
      </c>
      <c r="J35" s="116">
        <f t="shared" si="39"/>
        <v>3</v>
      </c>
      <c r="K35" s="116">
        <f t="shared" si="39"/>
        <v>2</v>
      </c>
      <c r="L35" s="116">
        <f t="shared" si="39"/>
        <v>1</v>
      </c>
      <c r="M35" s="116">
        <f t="shared" si="39"/>
        <v>3</v>
      </c>
      <c r="N35" s="116">
        <f t="shared" si="39"/>
        <v>2</v>
      </c>
      <c r="O35" s="116">
        <f t="shared" si="39"/>
        <v>1</v>
      </c>
      <c r="P35" s="116" t="e">
        <f t="shared" ref="P35:Q35" si="40">IF(P31&lt;=100,ROUNDUP(P31*0.05,0),IF(P31&lt;=200,5+ROUNDUP((P31-100)*0.03,0),IF(P31&lt;=500,8+ROUNDUP((P31-200)*0.02,0),14+ROUNDUP((P31-500)*0.01,0))))</f>
        <v>#N/A</v>
      </c>
      <c r="Q35" s="116" t="e">
        <f t="shared" si="40"/>
        <v>#N/A</v>
      </c>
      <c r="R35" s="149"/>
    </row>
    <row r="36" spans="1:18">
      <c r="A36" s="94"/>
      <c r="B36" s="110" t="s">
        <v>426</v>
      </c>
      <c r="C36" s="238" t="s">
        <v>427</v>
      </c>
      <c r="D36" s="238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49"/>
    </row>
    <row r="37" spans="1:18" ht="30">
      <c r="A37" s="94"/>
      <c r="B37" s="109" t="s">
        <v>424</v>
      </c>
      <c r="C37" s="80" t="s">
        <v>423</v>
      </c>
      <c r="D37" s="94">
        <f>LOOKUP(C36,Таблицы!B148:B153,Таблицы!D148:D153)</f>
        <v>22100</v>
      </c>
      <c r="E37" s="94"/>
      <c r="F37" s="94">
        <f t="shared" ref="F37:Q37" si="41">$D37</f>
        <v>22100</v>
      </c>
      <c r="G37" s="94">
        <f t="shared" si="41"/>
        <v>22100</v>
      </c>
      <c r="H37" s="94">
        <f t="shared" si="41"/>
        <v>22100</v>
      </c>
      <c r="I37" s="94">
        <f t="shared" si="41"/>
        <v>22100</v>
      </c>
      <c r="J37" s="94">
        <f t="shared" si="41"/>
        <v>22100</v>
      </c>
      <c r="K37" s="94">
        <f t="shared" si="41"/>
        <v>22100</v>
      </c>
      <c r="L37" s="94">
        <f t="shared" si="41"/>
        <v>22100</v>
      </c>
      <c r="M37" s="94">
        <f t="shared" si="41"/>
        <v>22100</v>
      </c>
      <c r="N37" s="94">
        <f t="shared" si="41"/>
        <v>22100</v>
      </c>
      <c r="O37" s="94">
        <f t="shared" si="41"/>
        <v>22100</v>
      </c>
      <c r="P37" s="94">
        <f t="shared" si="41"/>
        <v>22100</v>
      </c>
      <c r="Q37" s="94">
        <f t="shared" si="41"/>
        <v>22100</v>
      </c>
      <c r="R37" s="149"/>
    </row>
    <row r="38" spans="1:18">
      <c r="A38" s="94">
        <f>ROUNDUP((D8/D37),0)</f>
        <v>3</v>
      </c>
      <c r="B38" s="232" t="str">
        <f>"Nк = S/S1 = ("&amp;D8&amp;" / "&amp;D37&amp;") ="&amp;ROUNDUP((D8/D37),0)&amp;" (шт.)"</f>
        <v>Nк = S/S1 = (51539.3 / 22100) =3 (шт.)</v>
      </c>
      <c r="C38" s="232"/>
      <c r="D38" s="232"/>
      <c r="E38" s="94"/>
      <c r="F38" s="94">
        <f>ROUNDUP((F8/F37),0)</f>
        <v>2</v>
      </c>
      <c r="G38" s="94">
        <f t="shared" ref="G38:O38" si="42">ROUNDUP((G8/G37),0)</f>
        <v>3</v>
      </c>
      <c r="H38" s="94">
        <f t="shared" si="42"/>
        <v>2</v>
      </c>
      <c r="I38" s="94">
        <f t="shared" si="42"/>
        <v>1</v>
      </c>
      <c r="J38" s="94">
        <f t="shared" si="42"/>
        <v>3</v>
      </c>
      <c r="K38" s="94">
        <f t="shared" si="42"/>
        <v>2</v>
      </c>
      <c r="L38" s="94">
        <f t="shared" si="42"/>
        <v>2</v>
      </c>
      <c r="M38" s="94">
        <f t="shared" si="42"/>
        <v>3</v>
      </c>
      <c r="N38" s="94">
        <f t="shared" si="42"/>
        <v>2</v>
      </c>
      <c r="O38" s="94">
        <f t="shared" si="42"/>
        <v>2</v>
      </c>
      <c r="P38" s="94">
        <f t="shared" ref="P38:Q38" si="43">ROUNDUP((P8/P37),0)</f>
        <v>0</v>
      </c>
      <c r="Q38" s="94">
        <f t="shared" si="43"/>
        <v>0</v>
      </c>
      <c r="R38" s="149"/>
    </row>
    <row r="39" spans="1:18">
      <c r="A39" s="94"/>
      <c r="B39" s="110" t="s">
        <v>426</v>
      </c>
      <c r="C39" s="226" t="s">
        <v>425</v>
      </c>
      <c r="D39" s="226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49"/>
    </row>
    <row r="40" spans="1:18" ht="30">
      <c r="A40" s="94"/>
      <c r="B40" s="109" t="s">
        <v>424</v>
      </c>
      <c r="C40" s="80" t="s">
        <v>423</v>
      </c>
      <c r="D40" s="94">
        <f>LOOKUP(C39,Таблицы!B148:B153,Таблицы!D148:D153)</f>
        <v>450</v>
      </c>
      <c r="E40" s="94"/>
      <c r="F40" s="94">
        <f t="shared" ref="F40:Q40" si="44">$D40</f>
        <v>450</v>
      </c>
      <c r="G40" s="94">
        <f t="shared" si="44"/>
        <v>450</v>
      </c>
      <c r="H40" s="94">
        <f t="shared" si="44"/>
        <v>450</v>
      </c>
      <c r="I40" s="94">
        <f t="shared" si="44"/>
        <v>450</v>
      </c>
      <c r="J40" s="94">
        <f t="shared" si="44"/>
        <v>450</v>
      </c>
      <c r="K40" s="94">
        <f t="shared" si="44"/>
        <v>450</v>
      </c>
      <c r="L40" s="94">
        <f t="shared" si="44"/>
        <v>450</v>
      </c>
      <c r="M40" s="94">
        <f t="shared" si="44"/>
        <v>450</v>
      </c>
      <c r="N40" s="94">
        <f t="shared" si="44"/>
        <v>450</v>
      </c>
      <c r="O40" s="94">
        <f t="shared" si="44"/>
        <v>450</v>
      </c>
      <c r="P40" s="94">
        <f t="shared" si="44"/>
        <v>450</v>
      </c>
      <c r="Q40" s="94">
        <f t="shared" si="44"/>
        <v>450</v>
      </c>
      <c r="R40" s="149"/>
    </row>
    <row r="41" spans="1:18" ht="33.75" customHeight="1">
      <c r="A41" s="94">
        <f>IF(ROUNDUP(D11/D40,0)&gt;4,4,ROUNDUP(D11/D40,0))</f>
        <v>4</v>
      </c>
      <c r="B41" s="232" t="str">
        <f>"Nк = S/S1 = ("&amp;D11&amp;" / "&amp;D40&amp;") = "&amp;IF(ROUNDUP(D11/D40,0)&gt;4,4,ROUNDUP(D11/D40,0))&amp;" (шт.) -  не далее 150 метров от входной группы (в случае двух и более входных групп - до одной из них)   (требуется не менее 1м/м и не более 4 м/м)"</f>
        <v>Nк = S/S1 = (4048 / 450) = 4 (шт.) -  не далее 150 метров от входной группы (в случае двух и более входных групп - до одной из них)   (требуется не менее 1м/м и не более 4 м/м)</v>
      </c>
      <c r="C41" s="232"/>
      <c r="D41" s="232"/>
      <c r="E41" s="94"/>
      <c r="F41" s="94">
        <f>IF(ROUNDUP(F11/F40,0)&gt;4,4,ROUNDUP(F11/F40,0))</f>
        <v>4</v>
      </c>
      <c r="G41" s="94">
        <f t="shared" ref="G41:O41" si="45">IF(ROUNDUP(G11/G40,0)&gt;4,4,ROUNDUP(G11/G40,0))</f>
        <v>4</v>
      </c>
      <c r="H41" s="94">
        <f t="shared" si="45"/>
        <v>3</v>
      </c>
      <c r="I41" s="94">
        <f t="shared" si="45"/>
        <v>4</v>
      </c>
      <c r="J41" s="94">
        <f t="shared" si="45"/>
        <v>4</v>
      </c>
      <c r="K41" s="94">
        <f t="shared" si="45"/>
        <v>4</v>
      </c>
      <c r="L41" s="94">
        <f t="shared" si="45"/>
        <v>3</v>
      </c>
      <c r="M41" s="94">
        <f t="shared" si="45"/>
        <v>4</v>
      </c>
      <c r="N41" s="94">
        <f t="shared" si="45"/>
        <v>4</v>
      </c>
      <c r="O41" s="94">
        <f t="shared" si="45"/>
        <v>3</v>
      </c>
      <c r="P41" s="94">
        <f t="shared" ref="P41:Q41" si="46">IF(ROUNDUP(P11/P40,0)&gt;4,4,ROUNDUP(P11/P40,0))</f>
        <v>0</v>
      </c>
      <c r="Q41" s="94">
        <f t="shared" si="46"/>
        <v>0</v>
      </c>
      <c r="R41" s="149"/>
    </row>
    <row r="42" spans="1:18">
      <c r="A42" s="95">
        <f>A38+A41</f>
        <v>7</v>
      </c>
      <c r="B42" s="224" t="str">
        <f>"Всего требуется: Nк = ("&amp;A38&amp;" + "&amp;A41&amp;") = "&amp;A38+A41&amp;" (шт.)"</f>
        <v>Всего требуется: Nк = (3 + 4) = 7 (шт.)</v>
      </c>
      <c r="C42" s="224"/>
      <c r="D42" s="224"/>
      <c r="E42" s="95"/>
      <c r="F42" s="95">
        <f t="shared" ref="F42" si="47">F38+F41</f>
        <v>6</v>
      </c>
      <c r="G42" s="95">
        <f t="shared" ref="G42:O42" si="48">G38+G41</f>
        <v>7</v>
      </c>
      <c r="H42" s="95">
        <f t="shared" si="48"/>
        <v>5</v>
      </c>
      <c r="I42" s="95">
        <f t="shared" si="48"/>
        <v>5</v>
      </c>
      <c r="J42" s="95">
        <f t="shared" si="48"/>
        <v>7</v>
      </c>
      <c r="K42" s="95">
        <f t="shared" si="48"/>
        <v>6</v>
      </c>
      <c r="L42" s="95">
        <f t="shared" si="48"/>
        <v>5</v>
      </c>
      <c r="M42" s="95">
        <f t="shared" si="48"/>
        <v>7</v>
      </c>
      <c r="N42" s="95">
        <f t="shared" si="48"/>
        <v>6</v>
      </c>
      <c r="O42" s="95">
        <f t="shared" si="48"/>
        <v>5</v>
      </c>
      <c r="P42" s="95">
        <f t="shared" ref="P42:Q42" si="49">P38+P41</f>
        <v>0</v>
      </c>
      <c r="Q42" s="95">
        <f t="shared" si="49"/>
        <v>0</v>
      </c>
      <c r="R42" s="149"/>
    </row>
    <row r="43" spans="1:18">
      <c r="A43" s="94"/>
      <c r="B43" s="237" t="s">
        <v>628</v>
      </c>
      <c r="C43" s="237"/>
      <c r="D43" s="237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49"/>
    </row>
    <row r="44" spans="1:18">
      <c r="B44" s="79" t="s">
        <v>678</v>
      </c>
      <c r="C44" s="78" t="s">
        <v>619</v>
      </c>
      <c r="D44" s="105">
        <f t="shared" ref="D44:D80" si="50">LOOKUP($B$1,E$1:AT$1,E44:AT44)</f>
        <v>10</v>
      </c>
      <c r="E44" s="105"/>
      <c r="F44" s="105">
        <f>LOOKUP(F5,Таблицы!$B$157:$B$159,Таблицы!$C$157:$C$159)</f>
        <v>15</v>
      </c>
      <c r="G44" s="105">
        <f>LOOKUP(G5,Таблицы!$B$157:$B$159,Таблицы!$C$157:$C$159)</f>
        <v>15</v>
      </c>
      <c r="H44" s="105">
        <f>LOOKUP(H5,Таблицы!$B$157:$B$159,Таблицы!$C$157:$C$159)</f>
        <v>15</v>
      </c>
      <c r="I44" s="105">
        <f>LOOKUP(I5,Таблицы!$B$157:$B$159,Таблицы!$C$157:$C$159)</f>
        <v>15</v>
      </c>
      <c r="J44" s="105">
        <f>LOOKUP(J5,Таблицы!$B$157:$B$159,Таблицы!$C$157:$C$159)</f>
        <v>10</v>
      </c>
      <c r="K44" s="105">
        <f>LOOKUP(K5,Таблицы!$B$157:$B$159,Таблицы!$C$157:$C$159)</f>
        <v>10</v>
      </c>
      <c r="L44" s="105">
        <f>LOOKUP(L5,Таблицы!$B$157:$B$159,Таблицы!$C$157:$C$159)</f>
        <v>15</v>
      </c>
      <c r="M44" s="105">
        <f>LOOKUP(M5,Таблицы!$B$157:$B$159,Таблицы!$C$157:$C$159)</f>
        <v>15</v>
      </c>
      <c r="N44" s="105">
        <f>LOOKUP(N5,Таблицы!$B$157:$B$159,Таблицы!$C$157:$C$159)</f>
        <v>15</v>
      </c>
      <c r="O44" s="105">
        <f>LOOKUP(O5,Таблицы!$B$157:$B$159,Таблицы!$C$157:$C$159)</f>
        <v>15</v>
      </c>
      <c r="P44" s="105" t="e">
        <f>LOOKUP(P5,Таблицы!$B$157:$B$159,Таблицы!$C$157:$C$159)</f>
        <v>#N/A</v>
      </c>
      <c r="Q44" s="105" t="e">
        <f>LOOKUP(Q5,Таблицы!$B$157:$B$159,Таблицы!$C$157:$C$159)</f>
        <v>#N/A</v>
      </c>
      <c r="R44" s="149"/>
    </row>
    <row r="45" spans="1:18" ht="60">
      <c r="B45" s="113" t="str">
        <f>"2. Всего требуется разместить стоянок и остановок (из которых "&amp;D44&amp;"% - машиноместа с зарядными станциями для электромобилей, включая инфраструктуру для установки зарядного устройства)"</f>
        <v>2. Всего требуется разместить стоянок и остановок (из которых 10% - машиноместа с зарядными станциями для электромобилей, включая инфраструктуру для установки зарядного устройства)</v>
      </c>
      <c r="C45" s="106" t="s">
        <v>315</v>
      </c>
      <c r="D45" s="135" t="str">
        <f t="shared" si="50"/>
        <v>491 - всего;     (51 - для электромобилей)</v>
      </c>
      <c r="E45" s="107"/>
      <c r="F45" s="135" t="str">
        <f>""&amp;F20+F25+F31+F42&amp;" - всего;     ("&amp;ROUNDUP((F20)*F44/100,0)+ROUNDUP((F25)*F44/100,0)+ROUNDUP((F31)*F44/100,0)&amp;" - для электромобилей)"</f>
        <v>305 - всего;     (46 - для электромобилей)</v>
      </c>
      <c r="G45" s="135" t="str">
        <f t="shared" ref="G45:O45" si="51">""&amp;G20+G25+G31+G42&amp;" - всего;     ("&amp;ROUNDUP((G20)*G44/100,0)+ROUNDUP((G25)*G44/100,0)+ROUNDUP((G31)*G44/100,0)&amp;" - для электромобилей)"</f>
        <v>441 - всего;     (66 - для электромобилей)</v>
      </c>
      <c r="H45" s="135" t="str">
        <f t="shared" si="51"/>
        <v>276 - всего;     (42 - для электромобилей)</v>
      </c>
      <c r="I45" s="135" t="str">
        <f t="shared" si="51"/>
        <v>169 - всего;     (27 - для электромобилей)</v>
      </c>
      <c r="J45" s="135" t="str">
        <f t="shared" si="51"/>
        <v>491 - всего;     (51 - для электромобилей)</v>
      </c>
      <c r="K45" s="135" t="str">
        <f t="shared" si="51"/>
        <v>276 - всего;     (28 - для электромобилей)</v>
      </c>
      <c r="L45" s="135" t="str">
        <f t="shared" si="51"/>
        <v>220 - всего;     (33 - для электромобилей)</v>
      </c>
      <c r="M45" s="135" t="str">
        <f t="shared" si="51"/>
        <v>529 - всего;     (80 - для электромобилей)</v>
      </c>
      <c r="N45" s="135" t="str">
        <f t="shared" si="51"/>
        <v>248 - всего;     (38 - для электромобилей)</v>
      </c>
      <c r="O45" s="135" t="str">
        <f t="shared" si="51"/>
        <v>286 - всего;     (44 - для электромобилей)</v>
      </c>
      <c r="P45" s="135" t="e">
        <f t="shared" ref="P45:Q45" si="52">""&amp;P20+P25+P31+P42&amp;" - всего;     ("&amp;ROUNDUP((P20)*P44/100,0)+ROUNDUP((P25)*P44/100,0)+ROUNDUP((P31)*P44/100,0)&amp;" - для электромобилей)"</f>
        <v>#N/A</v>
      </c>
      <c r="Q45" s="135" t="e">
        <f t="shared" si="52"/>
        <v>#N/A</v>
      </c>
      <c r="R45" s="149"/>
    </row>
    <row r="46" spans="1:18" ht="60">
      <c r="B46" s="113" t="str">
        <f>"3. Всего требуется разместить стоянок и остановок с учётом отклонений в меньшую сторону без прохождения ГЗК (из которых "&amp;D44&amp;"% - машиноместа с зарядными станциями для электромобилей, включая инфраструктуру для установки зарядного устройства)"</f>
        <v>3. Всего требуется разместить стоянок и остановок с учётом отклонений в меньшую сторону без прохождения ГЗК (из которых 10% - машиноместа с зарядными станциями для электромобилей, включая инфраструктуру для установки зарядного устройства)</v>
      </c>
      <c r="C46" s="113" t="s">
        <v>599</v>
      </c>
      <c r="D46" s="135" t="str">
        <f t="shared" si="50"/>
        <v>435 - всего;     (44 - для электромобилей)</v>
      </c>
      <c r="E46" s="107"/>
      <c r="F46" s="135" t="str">
        <f>""&amp;F21+F26+F32+F42&amp;" - всего;     ("&amp;ROUNDUP((F21)*F44/100,0)+ROUNDUP((F26)*F44/100,0)+ROUNDUP((F32)*F44/100,0)&amp;" - для электромобилей)"</f>
        <v>272 - всего;     (41 - для электромобилей)</v>
      </c>
      <c r="G46" s="135" t="str">
        <f>""&amp;G21+G26+G32+G42&amp;" - всего;     ("&amp;ROUNDUP((G21)*G44/100,0)+ROUNDUP((G26)*G44/100,0)+ROUNDUP((G32)*G44/100,0)&amp;" - для электромобилей)"</f>
        <v>394 - всего;     (60 - для электромобилей)</v>
      </c>
      <c r="H46" s="135" t="str">
        <f>""&amp;H21+H26+H32+H42&amp;" - всего;     ("&amp;ROUNDUP((H21)*H44/100,0)+ROUNDUP((H26)*H44/100,0)+ROUNDUP((H32)*H44/100,0)&amp;" - для электромобилей)"</f>
        <v>248 - всего;     (38 - для электромобилей)</v>
      </c>
      <c r="I46" s="135" t="str">
        <f t="shared" ref="I46:O46" si="53">""&amp;I21+I26+I32+I42&amp;" - всего;     ("&amp;ROUNDUP((I21)*I44/100,0)+ROUNDUP((I26)*I44/100,0)+ROUNDUP((I32)*I44/100,0)&amp;" - для электромобилей)"</f>
        <v>151 - всего;     (23 - для электромобилей)</v>
      </c>
      <c r="J46" s="135" t="str">
        <f t="shared" si="53"/>
        <v>435 - всего;     (44 - для электромобилей)</v>
      </c>
      <c r="K46" s="135" t="str">
        <f t="shared" si="53"/>
        <v>244 - всего;     (24 - для электромобилей)</v>
      </c>
      <c r="L46" s="135" t="str">
        <f t="shared" si="53"/>
        <v>198 - всего;     (30 - для электромобилей)</v>
      </c>
      <c r="M46" s="135" t="str">
        <f t="shared" si="53"/>
        <v>468 - всего;     (71 - для электромобилей)</v>
      </c>
      <c r="N46" s="135" t="str">
        <f t="shared" si="53"/>
        <v>219 - всего;     (33 - для электромобилей)</v>
      </c>
      <c r="O46" s="135" t="str">
        <f t="shared" si="53"/>
        <v>256 - всего;     (39 - для электромобилей)</v>
      </c>
      <c r="P46" s="135" t="e">
        <f t="shared" ref="P46:Q46" si="54">""&amp;P21+P26+P32+P42&amp;" - всего;     ("&amp;ROUNDUP((P21)*P44/100,0)+ROUNDUP((P26)*P44/100,0)+ROUNDUP((P32)*P44/100,0)&amp;" - для электромобилей)"</f>
        <v>#N/A</v>
      </c>
      <c r="Q46" s="135" t="e">
        <f t="shared" si="54"/>
        <v>#N/A</v>
      </c>
      <c r="R46" s="149"/>
    </row>
    <row r="47" spans="1:18" ht="75">
      <c r="B47" s="113" t="s">
        <v>629</v>
      </c>
      <c r="C47" s="113" t="s">
        <v>599</v>
      </c>
      <c r="D47" s="135" t="str">
        <f t="shared" si="50"/>
        <v>547 - всего;     (56 - для электромобилей)</v>
      </c>
      <c r="E47" s="107"/>
      <c r="F47" s="135" t="str">
        <f>""&amp;F22+F27+F33+F42&amp;" - всего;     ("&amp;ROUNDUP((F22)*F44/100,0)+ROUNDUP((F27)*F44/100,0)+ROUNDUP((F33)*F44/100,0)&amp;" - для электромобилей)"</f>
        <v>338 - всего;     (52 - для электромобилей)</v>
      </c>
      <c r="G47" s="135" t="str">
        <f>""&amp;G22+G27+G33+G42&amp;" - всего;     ("&amp;ROUNDUP((G22)*G44/100,0)+ROUNDUP((G27)*G44/100,0)+ROUNDUP((G33)*G44/100,0)&amp;" - для электромобилей)"</f>
        <v>488 - всего;     (74 - для электромобилей)</v>
      </c>
      <c r="H47" s="135" t="str">
        <f t="shared" ref="H47:O47" si="55">""&amp;H22+H27+H33+H42&amp;" - всего;     ("&amp;ROUNDUP((H22)*H44/100,0)+ROUNDUP((H27)*H44/100,0)+ROUNDUP((H33)*H44/100,0)&amp;" - для электромобилей)"</f>
        <v>304 - всего;     (46 - для электромобилей)</v>
      </c>
      <c r="I47" s="135" t="str">
        <f t="shared" si="55"/>
        <v>187 - всего;     (29 - для электромобилей)</v>
      </c>
      <c r="J47" s="135" t="str">
        <f t="shared" si="55"/>
        <v>547 - всего;     (56 - для электромобилей)</v>
      </c>
      <c r="K47" s="135" t="str">
        <f t="shared" si="55"/>
        <v>308 - всего;     (32 - для электромобилей)</v>
      </c>
      <c r="L47" s="135" t="str">
        <f t="shared" si="55"/>
        <v>242 - всего;     (37 - для электромобилей)</v>
      </c>
      <c r="M47" s="135" t="str">
        <f t="shared" si="55"/>
        <v>590 - всего;     (89 - для электромобилей)</v>
      </c>
      <c r="N47" s="135" t="str">
        <f t="shared" si="55"/>
        <v>277 - всего;     (41 - для электромобилей)</v>
      </c>
      <c r="O47" s="135" t="str">
        <f t="shared" si="55"/>
        <v>316 - всего;     (48 - для электромобилей)</v>
      </c>
      <c r="P47" s="135" t="e">
        <f t="shared" ref="P47:Q47" si="56">""&amp;P22+P27+P33+P42&amp;" - всего;     ("&amp;ROUNDUP((P22)*P44/100,0)+ROUNDUP((P27)*P44/100,0)+ROUNDUP((P33)*P44/100,0)&amp;" - для электромобилей)"</f>
        <v>#N/A</v>
      </c>
      <c r="Q47" s="135" t="e">
        <f t="shared" si="56"/>
        <v>#N/A</v>
      </c>
      <c r="R47" s="149"/>
    </row>
    <row r="48" spans="1:18" ht="30">
      <c r="A48" s="104">
        <v>32</v>
      </c>
      <c r="B48" s="119" t="str">
        <f>"5. Площадь подземной автостоянки при обеспечености "&amp;A48&amp;" кв.м/м.м (минимальная площадь, требуется подтверждение АР)"</f>
        <v>5. Площадь подземной автостоянки при обеспечености 32 кв.м/м.м (минимальная площадь, требуется подтверждение АР)</v>
      </c>
      <c r="C48" s="120" t="s">
        <v>600</v>
      </c>
      <c r="D48" s="121">
        <f t="shared" si="50"/>
        <v>14944</v>
      </c>
      <c r="E48" s="120"/>
      <c r="F48" s="120">
        <f t="shared" ref="F48:O48" si="57">ROUNDUP((F59)*$A48,0)</f>
        <v>9760</v>
      </c>
      <c r="G48" s="120">
        <f t="shared" si="57"/>
        <v>13120</v>
      </c>
      <c r="H48" s="120">
        <f t="shared" si="57"/>
        <v>8352</v>
      </c>
      <c r="I48" s="120">
        <f t="shared" si="57"/>
        <v>4896</v>
      </c>
      <c r="J48" s="120">
        <f t="shared" si="57"/>
        <v>14944</v>
      </c>
      <c r="K48" s="120">
        <f t="shared" si="57"/>
        <v>8832</v>
      </c>
      <c r="L48" s="120">
        <f t="shared" si="57"/>
        <v>7040</v>
      </c>
      <c r="M48" s="120">
        <f t="shared" si="57"/>
        <v>16928</v>
      </c>
      <c r="N48" s="120">
        <f t="shared" si="57"/>
        <v>7936</v>
      </c>
      <c r="O48" s="120">
        <f t="shared" si="57"/>
        <v>9152</v>
      </c>
      <c r="P48" s="120" t="e">
        <f t="shared" ref="P48:Q48" si="58">ROUNDUP((P59)*$A48,0)</f>
        <v>#N/A</v>
      </c>
      <c r="Q48" s="120" t="e">
        <f t="shared" si="58"/>
        <v>#N/A</v>
      </c>
      <c r="R48" s="149"/>
    </row>
    <row r="49" spans="1:38">
      <c r="A49" s="104">
        <f>A48/2</f>
        <v>16</v>
      </c>
      <c r="B49" s="120" t="s">
        <v>630</v>
      </c>
      <c r="C49" s="120" t="s">
        <v>601</v>
      </c>
      <c r="D49" s="121">
        <f t="shared" si="50"/>
        <v>7472</v>
      </c>
      <c r="E49" s="120"/>
      <c r="F49" s="120">
        <f t="shared" ref="F49:O49" si="59">ROUNDUP((F59)*$A49,0)</f>
        <v>4880</v>
      </c>
      <c r="G49" s="120">
        <f t="shared" si="59"/>
        <v>6560</v>
      </c>
      <c r="H49" s="120">
        <f t="shared" si="59"/>
        <v>4176</v>
      </c>
      <c r="I49" s="120">
        <f t="shared" si="59"/>
        <v>2448</v>
      </c>
      <c r="J49" s="120">
        <f t="shared" si="59"/>
        <v>7472</v>
      </c>
      <c r="K49" s="120">
        <f t="shared" si="59"/>
        <v>4416</v>
      </c>
      <c r="L49" s="120">
        <f t="shared" si="59"/>
        <v>3520</v>
      </c>
      <c r="M49" s="120">
        <f t="shared" si="59"/>
        <v>8464</v>
      </c>
      <c r="N49" s="120">
        <f t="shared" si="59"/>
        <v>3968</v>
      </c>
      <c r="O49" s="120">
        <f t="shared" si="59"/>
        <v>4576</v>
      </c>
      <c r="P49" s="120" t="e">
        <f t="shared" ref="P49:Q49" si="60">ROUNDUP((P59)*$A49,0)</f>
        <v>#N/A</v>
      </c>
      <c r="Q49" s="120" t="e">
        <f t="shared" si="60"/>
        <v>#N/A</v>
      </c>
      <c r="R49" s="149"/>
    </row>
    <row r="50" spans="1:38">
      <c r="B50" s="147" t="s">
        <v>631</v>
      </c>
      <c r="C50" s="155" t="s">
        <v>632</v>
      </c>
      <c r="D50" s="150">
        <f t="shared" si="50"/>
        <v>24</v>
      </c>
      <c r="E50" s="147"/>
      <c r="F50" s="150">
        <f t="shared" ref="F50:O50" si="61">SUM(F51:F58)</f>
        <v>0</v>
      </c>
      <c r="G50" s="150">
        <f t="shared" si="61"/>
        <v>31</v>
      </c>
      <c r="H50" s="150">
        <f t="shared" si="61"/>
        <v>15</v>
      </c>
      <c r="I50" s="150">
        <f t="shared" si="61"/>
        <v>16</v>
      </c>
      <c r="J50" s="150">
        <f t="shared" si="61"/>
        <v>24</v>
      </c>
      <c r="K50" s="150">
        <f t="shared" si="61"/>
        <v>0</v>
      </c>
      <c r="L50" s="150">
        <f t="shared" si="61"/>
        <v>0</v>
      </c>
      <c r="M50" s="150">
        <f t="shared" si="61"/>
        <v>0</v>
      </c>
      <c r="N50" s="150">
        <f t="shared" si="61"/>
        <v>0</v>
      </c>
      <c r="O50" s="150">
        <f t="shared" si="61"/>
        <v>0</v>
      </c>
      <c r="P50" s="150">
        <f t="shared" ref="P50:Q50" si="62">SUM(P51:P58)</f>
        <v>0</v>
      </c>
      <c r="Q50" s="150">
        <f t="shared" si="62"/>
        <v>0</v>
      </c>
      <c r="R50" s="149"/>
    </row>
    <row r="51" spans="1:38">
      <c r="B51" s="144" t="s">
        <v>623</v>
      </c>
      <c r="C51" s="144" t="s">
        <v>633</v>
      </c>
      <c r="D51" s="151">
        <f t="shared" si="50"/>
        <v>0</v>
      </c>
      <c r="E51" s="144"/>
      <c r="F51" s="151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51">
        <v>0</v>
      </c>
      <c r="N51" s="151">
        <v>0</v>
      </c>
      <c r="O51" s="151">
        <v>0</v>
      </c>
      <c r="P51" s="151">
        <v>0</v>
      </c>
      <c r="Q51" s="151">
        <v>0</v>
      </c>
      <c r="R51" s="149"/>
    </row>
    <row r="52" spans="1:38">
      <c r="B52" s="144" t="s">
        <v>620</v>
      </c>
      <c r="C52" s="144" t="s">
        <v>634</v>
      </c>
      <c r="D52" s="151">
        <f t="shared" si="50"/>
        <v>0</v>
      </c>
      <c r="E52" s="144"/>
      <c r="F52" s="151">
        <v>0</v>
      </c>
      <c r="G52" s="151">
        <v>0</v>
      </c>
      <c r="H52" s="151">
        <v>0</v>
      </c>
      <c r="I52" s="151">
        <v>0</v>
      </c>
      <c r="J52" s="151">
        <v>0</v>
      </c>
      <c r="K52" s="151">
        <v>0</v>
      </c>
      <c r="L52" s="151">
        <v>0</v>
      </c>
      <c r="M52" s="151">
        <v>0</v>
      </c>
      <c r="N52" s="151">
        <v>0</v>
      </c>
      <c r="O52" s="151">
        <v>0</v>
      </c>
      <c r="P52" s="151">
        <v>0</v>
      </c>
      <c r="Q52" s="151">
        <v>0</v>
      </c>
      <c r="R52" s="149"/>
    </row>
    <row r="53" spans="1:38">
      <c r="B53" s="144" t="s">
        <v>621</v>
      </c>
      <c r="C53" s="144" t="s">
        <v>635</v>
      </c>
      <c r="D53" s="151">
        <f t="shared" si="50"/>
        <v>1</v>
      </c>
      <c r="E53" s="144"/>
      <c r="F53" s="151">
        <v>0</v>
      </c>
      <c r="G53" s="151">
        <v>0</v>
      </c>
      <c r="H53" s="151">
        <v>0</v>
      </c>
      <c r="I53" s="151">
        <v>0</v>
      </c>
      <c r="J53" s="151">
        <v>1</v>
      </c>
      <c r="K53" s="151">
        <v>0</v>
      </c>
      <c r="L53" s="151">
        <v>0</v>
      </c>
      <c r="M53" s="151">
        <v>0</v>
      </c>
      <c r="N53" s="151">
        <v>0</v>
      </c>
      <c r="O53" s="151">
        <v>0</v>
      </c>
      <c r="P53" s="151">
        <v>0</v>
      </c>
      <c r="Q53" s="151">
        <v>0</v>
      </c>
      <c r="R53" s="149"/>
    </row>
    <row r="54" spans="1:38">
      <c r="B54" s="144" t="s">
        <v>625</v>
      </c>
      <c r="C54" s="144" t="s">
        <v>636</v>
      </c>
      <c r="D54" s="151">
        <f t="shared" si="50"/>
        <v>7</v>
      </c>
      <c r="E54" s="144"/>
      <c r="F54" s="151">
        <v>0</v>
      </c>
      <c r="G54" s="151">
        <v>6</v>
      </c>
      <c r="H54" s="151">
        <v>2</v>
      </c>
      <c r="I54" s="151">
        <v>4</v>
      </c>
      <c r="J54" s="151">
        <v>7</v>
      </c>
      <c r="K54" s="151">
        <v>0</v>
      </c>
      <c r="L54" s="151">
        <v>0</v>
      </c>
      <c r="M54" s="151">
        <v>0</v>
      </c>
      <c r="N54" s="151">
        <v>0</v>
      </c>
      <c r="O54" s="151">
        <v>0</v>
      </c>
      <c r="P54" s="151">
        <v>0</v>
      </c>
      <c r="Q54" s="151">
        <v>0</v>
      </c>
      <c r="R54" s="149"/>
    </row>
    <row r="55" spans="1:38" ht="30">
      <c r="B55" s="145" t="s">
        <v>626</v>
      </c>
      <c r="C55" s="144" t="s">
        <v>640</v>
      </c>
      <c r="D55" s="151">
        <f t="shared" si="50"/>
        <v>6</v>
      </c>
      <c r="E55" s="144"/>
      <c r="F55" s="151">
        <v>0</v>
      </c>
      <c r="G55" s="151">
        <v>13</v>
      </c>
      <c r="H55" s="151">
        <v>7</v>
      </c>
      <c r="I55" s="151">
        <v>6</v>
      </c>
      <c r="J55" s="151">
        <v>6</v>
      </c>
      <c r="K55" s="151">
        <v>0</v>
      </c>
      <c r="L55" s="151">
        <v>0</v>
      </c>
      <c r="M55" s="151">
        <v>0</v>
      </c>
      <c r="N55" s="151">
        <v>0</v>
      </c>
      <c r="O55" s="151">
        <v>0</v>
      </c>
      <c r="P55" s="151">
        <v>0</v>
      </c>
      <c r="Q55" s="151">
        <v>0</v>
      </c>
      <c r="R55" s="149"/>
    </row>
    <row r="56" spans="1:38">
      <c r="A56" s="96"/>
      <c r="B56" s="144" t="s">
        <v>622</v>
      </c>
      <c r="C56" s="144" t="s">
        <v>637</v>
      </c>
      <c r="D56" s="151">
        <f t="shared" si="50"/>
        <v>3</v>
      </c>
      <c r="E56" s="144"/>
      <c r="F56" s="151">
        <v>0</v>
      </c>
      <c r="G56" s="151">
        <v>2</v>
      </c>
      <c r="H56" s="152">
        <v>1</v>
      </c>
      <c r="I56" s="152">
        <v>1</v>
      </c>
      <c r="J56" s="151">
        <v>3</v>
      </c>
      <c r="K56" s="151">
        <v>0</v>
      </c>
      <c r="L56" s="151">
        <v>0</v>
      </c>
      <c r="M56" s="151">
        <v>0</v>
      </c>
      <c r="N56" s="151">
        <v>0</v>
      </c>
      <c r="O56" s="151">
        <v>0</v>
      </c>
      <c r="P56" s="151">
        <v>0</v>
      </c>
      <c r="Q56" s="151">
        <v>0</v>
      </c>
      <c r="R56" s="149"/>
    </row>
    <row r="57" spans="1:38" ht="30">
      <c r="A57" s="96"/>
      <c r="B57" s="145" t="s">
        <v>627</v>
      </c>
      <c r="C57" s="144" t="s">
        <v>639</v>
      </c>
      <c r="D57" s="151">
        <f t="shared" si="50"/>
        <v>4</v>
      </c>
      <c r="E57" s="144"/>
      <c r="F57" s="151">
        <v>0</v>
      </c>
      <c r="G57" s="151">
        <v>6</v>
      </c>
      <c r="H57" s="152">
        <v>4</v>
      </c>
      <c r="I57" s="152">
        <v>2</v>
      </c>
      <c r="J57" s="151">
        <v>4</v>
      </c>
      <c r="K57" s="151">
        <v>0</v>
      </c>
      <c r="L57" s="151">
        <v>0</v>
      </c>
      <c r="M57" s="151">
        <v>0</v>
      </c>
      <c r="N57" s="151">
        <v>0</v>
      </c>
      <c r="O57" s="151">
        <v>0</v>
      </c>
      <c r="P57" s="151">
        <v>0</v>
      </c>
      <c r="Q57" s="151">
        <v>0</v>
      </c>
      <c r="R57" s="149"/>
    </row>
    <row r="58" spans="1:38">
      <c r="A58" s="96"/>
      <c r="B58" s="144" t="s">
        <v>624</v>
      </c>
      <c r="C58" s="144" t="s">
        <v>638</v>
      </c>
      <c r="D58" s="151">
        <f t="shared" si="50"/>
        <v>3</v>
      </c>
      <c r="E58" s="144"/>
      <c r="F58" s="151">
        <v>0</v>
      </c>
      <c r="G58" s="151">
        <v>4</v>
      </c>
      <c r="H58" s="151">
        <v>1</v>
      </c>
      <c r="I58" s="151">
        <v>3</v>
      </c>
      <c r="J58" s="151">
        <v>3</v>
      </c>
      <c r="K58" s="151">
        <v>0</v>
      </c>
      <c r="L58" s="151">
        <v>0</v>
      </c>
      <c r="M58" s="151">
        <v>0</v>
      </c>
      <c r="N58" s="151">
        <v>0</v>
      </c>
      <c r="O58" s="151">
        <v>0</v>
      </c>
      <c r="P58" s="151">
        <v>0</v>
      </c>
      <c r="Q58" s="151">
        <v>0</v>
      </c>
      <c r="R58" s="149"/>
    </row>
    <row r="59" spans="1:38" ht="30">
      <c r="A59" s="96">
        <f>A20+A25+A31-F50</f>
        <v>484</v>
      </c>
      <c r="B59" s="157" t="s">
        <v>642</v>
      </c>
      <c r="C59" s="158" t="s">
        <v>315</v>
      </c>
      <c r="D59" s="159">
        <f t="shared" si="50"/>
        <v>467</v>
      </c>
      <c r="E59" s="159"/>
      <c r="F59" s="159">
        <f t="shared" ref="F59:O59" si="63">SUM(F60:F68)</f>
        <v>305</v>
      </c>
      <c r="G59" s="159">
        <f t="shared" si="63"/>
        <v>410</v>
      </c>
      <c r="H59" s="159">
        <f t="shared" si="63"/>
        <v>261</v>
      </c>
      <c r="I59" s="159">
        <f t="shared" si="63"/>
        <v>153</v>
      </c>
      <c r="J59" s="159">
        <f t="shared" si="63"/>
        <v>467</v>
      </c>
      <c r="K59" s="159">
        <f t="shared" si="63"/>
        <v>276</v>
      </c>
      <c r="L59" s="159">
        <f t="shared" si="63"/>
        <v>220</v>
      </c>
      <c r="M59" s="159">
        <f t="shared" si="63"/>
        <v>529</v>
      </c>
      <c r="N59" s="159">
        <f t="shared" si="63"/>
        <v>248</v>
      </c>
      <c r="O59" s="159">
        <f t="shared" si="63"/>
        <v>286</v>
      </c>
      <c r="P59" s="159" t="e">
        <f t="shared" ref="P59:Q59" si="64">SUM(P60:P68)</f>
        <v>#N/A</v>
      </c>
      <c r="Q59" s="159" t="e">
        <f t="shared" si="64"/>
        <v>#N/A</v>
      </c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</row>
    <row r="60" spans="1:38">
      <c r="A60" s="96"/>
      <c r="B60" s="79" t="s">
        <v>647</v>
      </c>
      <c r="C60" s="78"/>
      <c r="D60" s="105">
        <f t="shared" si="50"/>
        <v>361</v>
      </c>
      <c r="E60" s="105"/>
      <c r="F60" s="105">
        <f t="shared" ref="F60:Q60" si="65">F20-F61</f>
        <v>213</v>
      </c>
      <c r="G60" s="105">
        <f t="shared" si="65"/>
        <v>315</v>
      </c>
      <c r="H60" s="105">
        <f t="shared" si="65"/>
        <v>199</v>
      </c>
      <c r="I60" s="105">
        <f t="shared" si="65"/>
        <v>115</v>
      </c>
      <c r="J60" s="105">
        <f t="shared" si="65"/>
        <v>361</v>
      </c>
      <c r="K60" s="105">
        <f t="shared" si="65"/>
        <v>198</v>
      </c>
      <c r="L60" s="105">
        <f t="shared" si="65"/>
        <v>155</v>
      </c>
      <c r="M60" s="105">
        <f t="shared" si="65"/>
        <v>365</v>
      </c>
      <c r="N60" s="105">
        <f t="shared" si="65"/>
        <v>159</v>
      </c>
      <c r="O60" s="105">
        <f t="shared" si="65"/>
        <v>205</v>
      </c>
      <c r="P60" s="105" t="e">
        <f t="shared" si="65"/>
        <v>#N/A</v>
      </c>
      <c r="Q60" s="105" t="e">
        <f t="shared" si="65"/>
        <v>#N/A</v>
      </c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</row>
    <row r="61" spans="1:38">
      <c r="A61" s="96"/>
      <c r="B61" s="79" t="s">
        <v>648</v>
      </c>
      <c r="C61" s="78"/>
      <c r="D61" s="105">
        <f t="shared" si="50"/>
        <v>41</v>
      </c>
      <c r="E61" s="105"/>
      <c r="F61" s="105">
        <f t="shared" ref="F61:O61" si="66">ROUNDUP(F20*F44/100,0)</f>
        <v>38</v>
      </c>
      <c r="G61" s="105">
        <f t="shared" si="66"/>
        <v>56</v>
      </c>
      <c r="H61" s="105">
        <f t="shared" si="66"/>
        <v>36</v>
      </c>
      <c r="I61" s="105">
        <f t="shared" si="66"/>
        <v>21</v>
      </c>
      <c r="J61" s="105">
        <f t="shared" si="66"/>
        <v>41</v>
      </c>
      <c r="K61" s="105">
        <f t="shared" si="66"/>
        <v>22</v>
      </c>
      <c r="L61" s="105">
        <f t="shared" si="66"/>
        <v>28</v>
      </c>
      <c r="M61" s="105">
        <f t="shared" si="66"/>
        <v>65</v>
      </c>
      <c r="N61" s="105">
        <f t="shared" si="66"/>
        <v>29</v>
      </c>
      <c r="O61" s="105">
        <f t="shared" si="66"/>
        <v>37</v>
      </c>
      <c r="P61" s="105" t="e">
        <f t="shared" ref="P61:Q61" si="67">ROUNDUP(P20*P44/100,0)</f>
        <v>#N/A</v>
      </c>
      <c r="Q61" s="105" t="e">
        <f t="shared" si="67"/>
        <v>#N/A</v>
      </c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</row>
    <row r="62" spans="1:38" ht="30">
      <c r="A62" s="96"/>
      <c r="B62" s="79" t="s">
        <v>650</v>
      </c>
      <c r="C62" s="78"/>
      <c r="D62" s="105">
        <f t="shared" si="50"/>
        <v>25</v>
      </c>
      <c r="E62" s="105"/>
      <c r="F62" s="105">
        <f t="shared" ref="F62:Q62" si="68">F25-F64-F52-F55-F56-F63</f>
        <v>19</v>
      </c>
      <c r="G62" s="105">
        <f t="shared" si="68"/>
        <v>15</v>
      </c>
      <c r="H62" s="105">
        <f t="shared" si="68"/>
        <v>10</v>
      </c>
      <c r="I62" s="105">
        <f t="shared" si="68"/>
        <v>3</v>
      </c>
      <c r="J62" s="105">
        <f t="shared" si="68"/>
        <v>25</v>
      </c>
      <c r="K62" s="105">
        <f t="shared" si="68"/>
        <v>16</v>
      </c>
      <c r="L62" s="105">
        <f t="shared" si="68"/>
        <v>14</v>
      </c>
      <c r="M62" s="105">
        <f t="shared" si="68"/>
        <v>31</v>
      </c>
      <c r="N62" s="105">
        <f t="shared" si="68"/>
        <v>14</v>
      </c>
      <c r="O62" s="105">
        <f t="shared" si="68"/>
        <v>18</v>
      </c>
      <c r="P62" s="105" t="e">
        <f t="shared" si="68"/>
        <v>#N/A</v>
      </c>
      <c r="Q62" s="105" t="e">
        <f t="shared" si="68"/>
        <v>#N/A</v>
      </c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</row>
    <row r="63" spans="1:38">
      <c r="A63" s="96"/>
      <c r="B63" s="79" t="s">
        <v>649</v>
      </c>
      <c r="C63" s="78"/>
      <c r="D63" s="105">
        <f t="shared" si="50"/>
        <v>5</v>
      </c>
      <c r="E63" s="105"/>
      <c r="F63" s="105">
        <f t="shared" ref="F63:O63" si="69">ROUNDUP(F25*F$44/100,0)</f>
        <v>4</v>
      </c>
      <c r="G63" s="105">
        <f t="shared" si="69"/>
        <v>6</v>
      </c>
      <c r="H63" s="105">
        <f t="shared" si="69"/>
        <v>4</v>
      </c>
      <c r="I63" s="105">
        <f t="shared" si="69"/>
        <v>3</v>
      </c>
      <c r="J63" s="105">
        <f t="shared" si="69"/>
        <v>5</v>
      </c>
      <c r="K63" s="105">
        <f t="shared" si="69"/>
        <v>3</v>
      </c>
      <c r="L63" s="105">
        <f t="shared" si="69"/>
        <v>3</v>
      </c>
      <c r="M63" s="105">
        <f t="shared" si="69"/>
        <v>7</v>
      </c>
      <c r="N63" s="105">
        <f t="shared" si="69"/>
        <v>3</v>
      </c>
      <c r="O63" s="105">
        <f t="shared" si="69"/>
        <v>4</v>
      </c>
      <c r="P63" s="105" t="e">
        <f t="shared" ref="P63:Q63" si="70">ROUNDUP(P25*P$44/100,0)</f>
        <v>#N/A</v>
      </c>
      <c r="Q63" s="105" t="e">
        <f t="shared" si="70"/>
        <v>#N/A</v>
      </c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</row>
    <row r="64" spans="1:38">
      <c r="A64" s="96"/>
      <c r="B64" s="79" t="s">
        <v>651</v>
      </c>
      <c r="C64" s="78"/>
      <c r="D64" s="105">
        <f t="shared" si="50"/>
        <v>2</v>
      </c>
      <c r="E64" s="105"/>
      <c r="F64" s="105">
        <f t="shared" ref="F64:O64" si="71">IF((ROUNDUP(F25*0.1,0)-F52-F56)&lt;0,0,(ROUNDUP(F25*0.1,0)-F52-F56))</f>
        <v>3</v>
      </c>
      <c r="G64" s="105">
        <f t="shared" si="71"/>
        <v>2</v>
      </c>
      <c r="H64" s="105">
        <f t="shared" si="71"/>
        <v>2</v>
      </c>
      <c r="I64" s="105">
        <f t="shared" si="71"/>
        <v>1</v>
      </c>
      <c r="J64" s="105">
        <f t="shared" si="71"/>
        <v>2</v>
      </c>
      <c r="K64" s="105">
        <f t="shared" si="71"/>
        <v>3</v>
      </c>
      <c r="L64" s="105">
        <f t="shared" si="71"/>
        <v>2</v>
      </c>
      <c r="M64" s="105">
        <f t="shared" si="71"/>
        <v>5</v>
      </c>
      <c r="N64" s="105">
        <f t="shared" si="71"/>
        <v>2</v>
      </c>
      <c r="O64" s="105">
        <f t="shared" si="71"/>
        <v>3</v>
      </c>
      <c r="P64" s="105" t="e">
        <f t="shared" ref="P64:Q64" si="72">IF((ROUNDUP(P25*0.1,0)-P52-P56)&lt;0,0,(ROUNDUP(P25*0.1,0)-P52-P56))</f>
        <v>#N/A</v>
      </c>
      <c r="Q64" s="105" t="e">
        <f t="shared" si="72"/>
        <v>#N/A</v>
      </c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</row>
    <row r="65" spans="1:38" ht="30">
      <c r="A65" s="96"/>
      <c r="B65" s="79" t="s">
        <v>652</v>
      </c>
      <c r="C65" s="78"/>
      <c r="D65" s="105">
        <f t="shared" si="50"/>
        <v>27</v>
      </c>
      <c r="E65" s="105"/>
      <c r="F65" s="105">
        <f t="shared" ref="F65:Q65" si="73">F31-F67-F53-F57-F58-F66</f>
        <v>15</v>
      </c>
      <c r="G65" s="105">
        <f t="shared" si="73"/>
        <v>11</v>
      </c>
      <c r="H65" s="105">
        <f t="shared" si="73"/>
        <v>4</v>
      </c>
      <c r="I65" s="105">
        <f t="shared" si="73"/>
        <v>6</v>
      </c>
      <c r="J65" s="105">
        <f t="shared" si="73"/>
        <v>27</v>
      </c>
      <c r="K65" s="105">
        <f t="shared" si="73"/>
        <v>22</v>
      </c>
      <c r="L65" s="105">
        <f t="shared" si="73"/>
        <v>9</v>
      </c>
      <c r="M65" s="105">
        <f t="shared" si="73"/>
        <v>36</v>
      </c>
      <c r="N65" s="105">
        <f t="shared" si="73"/>
        <v>25</v>
      </c>
      <c r="O65" s="105">
        <f t="shared" si="73"/>
        <v>9</v>
      </c>
      <c r="P65" s="105" t="e">
        <f t="shared" si="73"/>
        <v>#N/A</v>
      </c>
      <c r="Q65" s="105" t="e">
        <f t="shared" si="73"/>
        <v>#N/A</v>
      </c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</row>
    <row r="66" spans="1:38">
      <c r="A66" s="96"/>
      <c r="B66" s="79" t="s">
        <v>653</v>
      </c>
      <c r="C66" s="78"/>
      <c r="D66" s="105">
        <f t="shared" si="50"/>
        <v>5</v>
      </c>
      <c r="E66" s="105"/>
      <c r="F66" s="105">
        <f>ROUNDUP((F31)*F$44/100,0)</f>
        <v>4</v>
      </c>
      <c r="G66" s="105">
        <f t="shared" ref="G66:O66" si="74">ROUNDUP((G31)*G44/100,0)</f>
        <v>4</v>
      </c>
      <c r="H66" s="105">
        <f t="shared" si="74"/>
        <v>2</v>
      </c>
      <c r="I66" s="105">
        <f t="shared" si="74"/>
        <v>3</v>
      </c>
      <c r="J66" s="105">
        <f t="shared" si="74"/>
        <v>5</v>
      </c>
      <c r="K66" s="105">
        <f t="shared" si="74"/>
        <v>3</v>
      </c>
      <c r="L66" s="105">
        <f t="shared" si="74"/>
        <v>2</v>
      </c>
      <c r="M66" s="105">
        <f t="shared" si="74"/>
        <v>8</v>
      </c>
      <c r="N66" s="105">
        <f t="shared" si="74"/>
        <v>6</v>
      </c>
      <c r="O66" s="105">
        <f t="shared" si="74"/>
        <v>3</v>
      </c>
      <c r="P66" s="105" t="e">
        <f t="shared" ref="P66:Q66" si="75">ROUNDUP((P31)*P44/100,0)</f>
        <v>#N/A</v>
      </c>
      <c r="Q66" s="105" t="e">
        <f t="shared" si="75"/>
        <v>#N/A</v>
      </c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</row>
    <row r="67" spans="1:38">
      <c r="A67" s="96"/>
      <c r="B67" s="79" t="s">
        <v>654</v>
      </c>
      <c r="C67" s="78"/>
      <c r="D67" s="105">
        <f t="shared" si="50"/>
        <v>1</v>
      </c>
      <c r="E67" s="105"/>
      <c r="F67" s="105">
        <f t="shared" ref="F67:O67" si="76">IF((ROUNDUP(F31*0.1,0)-F53-F58)&lt;0,0,ROUNDUP(F31*0.1,0)-F53-F58)</f>
        <v>3</v>
      </c>
      <c r="G67" s="105">
        <f t="shared" si="76"/>
        <v>0</v>
      </c>
      <c r="H67" s="105">
        <f t="shared" si="76"/>
        <v>1</v>
      </c>
      <c r="I67" s="105">
        <f t="shared" si="76"/>
        <v>0</v>
      </c>
      <c r="J67" s="105">
        <f t="shared" si="76"/>
        <v>1</v>
      </c>
      <c r="K67" s="105">
        <f t="shared" si="76"/>
        <v>3</v>
      </c>
      <c r="L67" s="105">
        <f t="shared" si="76"/>
        <v>2</v>
      </c>
      <c r="M67" s="105">
        <f t="shared" si="76"/>
        <v>5</v>
      </c>
      <c r="N67" s="105">
        <f t="shared" si="76"/>
        <v>4</v>
      </c>
      <c r="O67" s="105">
        <f t="shared" si="76"/>
        <v>2</v>
      </c>
      <c r="P67" s="105" t="e">
        <f t="shared" ref="P67:Q67" si="77">IF((ROUNDUP(P31*0.1,0)-P53-P58)&lt;0,0,ROUNDUP(P31*0.1,0)-P53-P58)</f>
        <v>#N/A</v>
      </c>
      <c r="Q67" s="105" t="e">
        <f t="shared" si="77"/>
        <v>#N/A</v>
      </c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</row>
    <row r="68" spans="1:38">
      <c r="A68" s="96"/>
      <c r="B68" s="79" t="s">
        <v>655</v>
      </c>
      <c r="C68" s="78"/>
      <c r="D68" s="105">
        <f t="shared" si="50"/>
        <v>0</v>
      </c>
      <c r="E68" s="105"/>
      <c r="F68" s="105">
        <f t="shared" ref="F68:O68" si="78">IF(F42-F51-F54&lt;0,0,F42-F51-F54)</f>
        <v>6</v>
      </c>
      <c r="G68" s="105">
        <f t="shared" si="78"/>
        <v>1</v>
      </c>
      <c r="H68" s="105">
        <f t="shared" si="78"/>
        <v>3</v>
      </c>
      <c r="I68" s="105">
        <f t="shared" si="78"/>
        <v>1</v>
      </c>
      <c r="J68" s="105">
        <f t="shared" si="78"/>
        <v>0</v>
      </c>
      <c r="K68" s="105">
        <f t="shared" si="78"/>
        <v>6</v>
      </c>
      <c r="L68" s="105">
        <f t="shared" si="78"/>
        <v>5</v>
      </c>
      <c r="M68" s="105">
        <f t="shared" si="78"/>
        <v>7</v>
      </c>
      <c r="N68" s="105">
        <f t="shared" si="78"/>
        <v>6</v>
      </c>
      <c r="O68" s="105">
        <f t="shared" si="78"/>
        <v>5</v>
      </c>
      <c r="P68" s="105">
        <f t="shared" ref="P68:Q68" si="79">IF(P42-P51-P54&lt;0,0,P42-P51-P54)</f>
        <v>0</v>
      </c>
      <c r="Q68" s="105">
        <f t="shared" si="79"/>
        <v>0</v>
      </c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</row>
    <row r="69" spans="1:38">
      <c r="A69" s="96"/>
      <c r="B69" s="79" t="s">
        <v>641</v>
      </c>
      <c r="C69" s="78"/>
      <c r="D69" s="105">
        <f t="shared" si="50"/>
        <v>491</v>
      </c>
      <c r="E69" s="105"/>
      <c r="F69" s="105">
        <f t="shared" ref="F69:O69" si="80">F59+F50</f>
        <v>305</v>
      </c>
      <c r="G69" s="105">
        <f t="shared" si="80"/>
        <v>441</v>
      </c>
      <c r="H69" s="105">
        <f t="shared" si="80"/>
        <v>276</v>
      </c>
      <c r="I69" s="105">
        <f t="shared" si="80"/>
        <v>169</v>
      </c>
      <c r="J69" s="105">
        <f t="shared" si="80"/>
        <v>491</v>
      </c>
      <c r="K69" s="105">
        <f t="shared" si="80"/>
        <v>276</v>
      </c>
      <c r="L69" s="105">
        <f t="shared" si="80"/>
        <v>220</v>
      </c>
      <c r="M69" s="105">
        <f t="shared" si="80"/>
        <v>529</v>
      </c>
      <c r="N69" s="105">
        <f t="shared" si="80"/>
        <v>248</v>
      </c>
      <c r="O69" s="105">
        <f t="shared" si="80"/>
        <v>286</v>
      </c>
      <c r="P69" s="105" t="e">
        <f t="shared" ref="P69:Q69" si="81">P59+P50</f>
        <v>#N/A</v>
      </c>
      <c r="Q69" s="105" t="e">
        <f t="shared" si="81"/>
        <v>#N/A</v>
      </c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</row>
    <row r="70" spans="1:38" ht="45">
      <c r="A70" s="96">
        <f>A21+A26-A28+A32-A34</f>
        <v>418</v>
      </c>
      <c r="B70" s="156" t="s">
        <v>643</v>
      </c>
      <c r="C70" s="156" t="s">
        <v>599</v>
      </c>
      <c r="D70" s="160">
        <f t="shared" si="50"/>
        <v>411</v>
      </c>
      <c r="E70" s="160"/>
      <c r="F70" s="160">
        <f t="shared" ref="F70:O70" si="82">SUM(F71:F79)</f>
        <v>272</v>
      </c>
      <c r="G70" s="160">
        <f t="shared" si="82"/>
        <v>363</v>
      </c>
      <c r="H70" s="160">
        <f t="shared" si="82"/>
        <v>233</v>
      </c>
      <c r="I70" s="160">
        <f t="shared" si="82"/>
        <v>135</v>
      </c>
      <c r="J70" s="160">
        <f t="shared" si="82"/>
        <v>411</v>
      </c>
      <c r="K70" s="160">
        <f t="shared" si="82"/>
        <v>244</v>
      </c>
      <c r="L70" s="160">
        <f t="shared" si="82"/>
        <v>198</v>
      </c>
      <c r="M70" s="160">
        <f t="shared" si="82"/>
        <v>468</v>
      </c>
      <c r="N70" s="160">
        <f t="shared" si="82"/>
        <v>219</v>
      </c>
      <c r="O70" s="160">
        <f t="shared" si="82"/>
        <v>256</v>
      </c>
      <c r="P70" s="160" t="e">
        <f t="shared" ref="P70:Q70" si="83">SUM(P71:P79)</f>
        <v>#N/A</v>
      </c>
      <c r="Q70" s="160" t="e">
        <f t="shared" si="83"/>
        <v>#N/A</v>
      </c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</row>
    <row r="71" spans="1:38">
      <c r="A71" s="96">
        <f>A22+A27-A28+A33-A34</f>
        <v>530</v>
      </c>
      <c r="B71" s="113" t="s">
        <v>647</v>
      </c>
      <c r="C71" s="106"/>
      <c r="D71" s="107">
        <f t="shared" si="50"/>
        <v>325</v>
      </c>
      <c r="E71" s="107"/>
      <c r="F71" s="107">
        <f t="shared" ref="F71:Q71" si="84">F21-F72</f>
        <v>192</v>
      </c>
      <c r="G71" s="107">
        <f t="shared" si="84"/>
        <v>283</v>
      </c>
      <c r="H71" s="107">
        <f t="shared" si="84"/>
        <v>180</v>
      </c>
      <c r="I71" s="107">
        <f t="shared" si="84"/>
        <v>104</v>
      </c>
      <c r="J71" s="107">
        <f t="shared" si="84"/>
        <v>325</v>
      </c>
      <c r="K71" s="107">
        <f t="shared" si="84"/>
        <v>178</v>
      </c>
      <c r="L71" s="107">
        <f t="shared" si="84"/>
        <v>140</v>
      </c>
      <c r="M71" s="107">
        <f t="shared" si="84"/>
        <v>328</v>
      </c>
      <c r="N71" s="107">
        <f t="shared" si="84"/>
        <v>144</v>
      </c>
      <c r="O71" s="107">
        <f t="shared" si="84"/>
        <v>185</v>
      </c>
      <c r="P71" s="107" t="e">
        <f t="shared" si="84"/>
        <v>#N/A</v>
      </c>
      <c r="Q71" s="107" t="e">
        <f t="shared" si="84"/>
        <v>#N/A</v>
      </c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</row>
    <row r="72" spans="1:38">
      <c r="A72" s="168"/>
      <c r="B72" s="113" t="s">
        <v>648</v>
      </c>
      <c r="C72" s="106"/>
      <c r="D72" s="107">
        <f t="shared" si="50"/>
        <v>37</v>
      </c>
      <c r="E72" s="107"/>
      <c r="F72" s="107">
        <f t="shared" ref="F72:O72" si="85">ROUNDUP(F21*F$44/100,0)</f>
        <v>34</v>
      </c>
      <c r="G72" s="107">
        <f t="shared" si="85"/>
        <v>51</v>
      </c>
      <c r="H72" s="107">
        <f t="shared" si="85"/>
        <v>32</v>
      </c>
      <c r="I72" s="107">
        <f t="shared" si="85"/>
        <v>19</v>
      </c>
      <c r="J72" s="107">
        <f t="shared" si="85"/>
        <v>37</v>
      </c>
      <c r="K72" s="107">
        <f t="shared" si="85"/>
        <v>20</v>
      </c>
      <c r="L72" s="107">
        <f t="shared" si="85"/>
        <v>25</v>
      </c>
      <c r="M72" s="107">
        <f t="shared" si="85"/>
        <v>59</v>
      </c>
      <c r="N72" s="107">
        <f t="shared" si="85"/>
        <v>26</v>
      </c>
      <c r="O72" s="107">
        <f t="shared" si="85"/>
        <v>33</v>
      </c>
      <c r="P72" s="107" t="e">
        <f t="shared" ref="P72:Q72" si="86">ROUNDUP(P21*P$44/100,0)</f>
        <v>#N/A</v>
      </c>
      <c r="Q72" s="107" t="e">
        <f t="shared" si="86"/>
        <v>#N/A</v>
      </c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</row>
    <row r="73" spans="1:38" ht="30">
      <c r="B73" s="113" t="s">
        <v>650</v>
      </c>
      <c r="C73" s="106"/>
      <c r="D73" s="107">
        <f t="shared" si="50"/>
        <v>23</v>
      </c>
      <c r="E73" s="107"/>
      <c r="F73" s="107">
        <f t="shared" ref="F73:Q73" si="87">F26-F75-F52-F55-F56-F74</f>
        <v>17</v>
      </c>
      <c r="G73" s="107">
        <f t="shared" si="87"/>
        <v>12</v>
      </c>
      <c r="H73" s="107">
        <f t="shared" si="87"/>
        <v>8</v>
      </c>
      <c r="I73" s="107">
        <f t="shared" si="87"/>
        <v>3</v>
      </c>
      <c r="J73" s="107">
        <f t="shared" si="87"/>
        <v>23</v>
      </c>
      <c r="K73" s="107">
        <f t="shared" si="87"/>
        <v>16</v>
      </c>
      <c r="L73" s="107">
        <f t="shared" si="87"/>
        <v>13</v>
      </c>
      <c r="M73" s="107">
        <f t="shared" si="87"/>
        <v>29</v>
      </c>
      <c r="N73" s="107">
        <f t="shared" si="87"/>
        <v>13</v>
      </c>
      <c r="O73" s="107">
        <f t="shared" si="87"/>
        <v>16</v>
      </c>
      <c r="P73" s="107" t="e">
        <f t="shared" si="87"/>
        <v>#N/A</v>
      </c>
      <c r="Q73" s="107" t="e">
        <f t="shared" si="87"/>
        <v>#N/A</v>
      </c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</row>
    <row r="74" spans="1:38">
      <c r="B74" s="113" t="s">
        <v>649</v>
      </c>
      <c r="C74" s="106"/>
      <c r="D74" s="107">
        <f t="shared" si="50"/>
        <v>4</v>
      </c>
      <c r="E74" s="107"/>
      <c r="F74" s="107">
        <f t="shared" ref="F74:O74" si="88">ROUNDUP(F26*F$44/100,0)</f>
        <v>4</v>
      </c>
      <c r="G74" s="107">
        <f t="shared" si="88"/>
        <v>6</v>
      </c>
      <c r="H74" s="107">
        <f t="shared" si="88"/>
        <v>4</v>
      </c>
      <c r="I74" s="107">
        <f t="shared" si="88"/>
        <v>2</v>
      </c>
      <c r="J74" s="107">
        <f t="shared" si="88"/>
        <v>4</v>
      </c>
      <c r="K74" s="107">
        <f t="shared" si="88"/>
        <v>2</v>
      </c>
      <c r="L74" s="107">
        <f t="shared" si="88"/>
        <v>3</v>
      </c>
      <c r="M74" s="107">
        <f t="shared" si="88"/>
        <v>6</v>
      </c>
      <c r="N74" s="107">
        <f t="shared" si="88"/>
        <v>3</v>
      </c>
      <c r="O74" s="107">
        <f t="shared" si="88"/>
        <v>4</v>
      </c>
      <c r="P74" s="107" t="e">
        <f t="shared" ref="P74:Q74" si="89">ROUNDUP(P26*P$44/100,0)</f>
        <v>#N/A</v>
      </c>
      <c r="Q74" s="107" t="e">
        <f t="shared" si="89"/>
        <v>#N/A</v>
      </c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</row>
    <row r="75" spans="1:38">
      <c r="B75" s="113" t="s">
        <v>651</v>
      </c>
      <c r="C75" s="106"/>
      <c r="D75" s="107">
        <f t="shared" si="50"/>
        <v>1</v>
      </c>
      <c r="E75" s="107"/>
      <c r="F75" s="107">
        <f t="shared" ref="F75:O75" si="90">IF((ROUNDUP(F26*0.1,0)-F52-F56)&lt;0,0,(ROUNDUP(F26*0.1,0)-F52-F56))</f>
        <v>3</v>
      </c>
      <c r="G75" s="107">
        <f t="shared" si="90"/>
        <v>2</v>
      </c>
      <c r="H75" s="107">
        <f t="shared" si="90"/>
        <v>2</v>
      </c>
      <c r="I75" s="107">
        <f t="shared" si="90"/>
        <v>1</v>
      </c>
      <c r="J75" s="107">
        <f t="shared" si="90"/>
        <v>1</v>
      </c>
      <c r="K75" s="107">
        <f t="shared" si="90"/>
        <v>2</v>
      </c>
      <c r="L75" s="107">
        <f t="shared" si="90"/>
        <v>2</v>
      </c>
      <c r="M75" s="107">
        <f t="shared" si="90"/>
        <v>4</v>
      </c>
      <c r="N75" s="107">
        <f t="shared" si="90"/>
        <v>2</v>
      </c>
      <c r="O75" s="107">
        <f t="shared" si="90"/>
        <v>3</v>
      </c>
      <c r="P75" s="107" t="e">
        <f t="shared" ref="P75:Q75" si="91">IF((ROUNDUP(P26*0.1,0)-P52-P56)&lt;0,0,(ROUNDUP(P26*0.1,0)-P52-P56))</f>
        <v>#N/A</v>
      </c>
      <c r="Q75" s="107" t="e">
        <f t="shared" si="91"/>
        <v>#N/A</v>
      </c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</row>
    <row r="76" spans="1:38" ht="30">
      <c r="B76" s="113" t="s">
        <v>652</v>
      </c>
      <c r="C76" s="106"/>
      <c r="D76" s="107">
        <f t="shared" si="50"/>
        <v>18</v>
      </c>
      <c r="E76" s="107"/>
      <c r="F76" s="107">
        <f t="shared" ref="F76:Q76" si="92">F32-F78-F53-F57-F58-F77</f>
        <v>11</v>
      </c>
      <c r="G76" s="107">
        <f t="shared" si="92"/>
        <v>5</v>
      </c>
      <c r="H76" s="107">
        <f t="shared" si="92"/>
        <v>2</v>
      </c>
      <c r="I76" s="107">
        <f t="shared" si="92"/>
        <v>3</v>
      </c>
      <c r="J76" s="107">
        <f t="shared" si="92"/>
        <v>18</v>
      </c>
      <c r="K76" s="107">
        <f t="shared" si="92"/>
        <v>16</v>
      </c>
      <c r="L76" s="107">
        <f t="shared" si="92"/>
        <v>7</v>
      </c>
      <c r="M76" s="107">
        <f t="shared" si="92"/>
        <v>25</v>
      </c>
      <c r="N76" s="107">
        <f t="shared" si="92"/>
        <v>18</v>
      </c>
      <c r="O76" s="107">
        <f t="shared" si="92"/>
        <v>7</v>
      </c>
      <c r="P76" s="107" t="e">
        <f t="shared" si="92"/>
        <v>#N/A</v>
      </c>
      <c r="Q76" s="107" t="e">
        <f t="shared" si="92"/>
        <v>#N/A</v>
      </c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</row>
    <row r="77" spans="1:38">
      <c r="B77" s="113" t="s">
        <v>653</v>
      </c>
      <c r="C77" s="106"/>
      <c r="D77" s="107">
        <f t="shared" si="50"/>
        <v>3</v>
      </c>
      <c r="E77" s="107"/>
      <c r="F77" s="107">
        <f t="shared" ref="F77:O77" si="93">ROUNDUP((F32)*F$44/100,0)</f>
        <v>3</v>
      </c>
      <c r="G77" s="107">
        <f t="shared" si="93"/>
        <v>3</v>
      </c>
      <c r="H77" s="107">
        <f t="shared" si="93"/>
        <v>2</v>
      </c>
      <c r="I77" s="107">
        <f t="shared" si="93"/>
        <v>2</v>
      </c>
      <c r="J77" s="107">
        <f t="shared" si="93"/>
        <v>3</v>
      </c>
      <c r="K77" s="107">
        <f t="shared" si="93"/>
        <v>2</v>
      </c>
      <c r="L77" s="107">
        <f t="shared" si="93"/>
        <v>2</v>
      </c>
      <c r="M77" s="107">
        <f t="shared" si="93"/>
        <v>6</v>
      </c>
      <c r="N77" s="107">
        <f t="shared" si="93"/>
        <v>4</v>
      </c>
      <c r="O77" s="107">
        <f t="shared" si="93"/>
        <v>2</v>
      </c>
      <c r="P77" s="107" t="e">
        <f t="shared" ref="P77:Q77" si="94">ROUNDUP((P32)*P$44/100,0)</f>
        <v>#N/A</v>
      </c>
      <c r="Q77" s="107" t="e">
        <f t="shared" si="94"/>
        <v>#N/A</v>
      </c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</row>
    <row r="78" spans="1:38">
      <c r="B78" s="113" t="s">
        <v>654</v>
      </c>
      <c r="C78" s="106"/>
      <c r="D78" s="107">
        <f t="shared" si="50"/>
        <v>0</v>
      </c>
      <c r="E78" s="107"/>
      <c r="F78" s="107">
        <f t="shared" ref="F78:O78" si="95">IF((ROUNDUP(F32*0.1,0)-F53-F58)&lt;0,0,ROUNDUP(F32*0.1,0)-F53-F58)</f>
        <v>2</v>
      </c>
      <c r="G78" s="107">
        <f t="shared" si="95"/>
        <v>0</v>
      </c>
      <c r="H78" s="107">
        <f t="shared" si="95"/>
        <v>0</v>
      </c>
      <c r="I78" s="107">
        <f t="shared" si="95"/>
        <v>0</v>
      </c>
      <c r="J78" s="107">
        <f t="shared" si="95"/>
        <v>0</v>
      </c>
      <c r="K78" s="107">
        <f t="shared" si="95"/>
        <v>2</v>
      </c>
      <c r="L78" s="107">
        <f t="shared" si="95"/>
        <v>1</v>
      </c>
      <c r="M78" s="107">
        <f t="shared" si="95"/>
        <v>4</v>
      </c>
      <c r="N78" s="107">
        <f t="shared" si="95"/>
        <v>3</v>
      </c>
      <c r="O78" s="107">
        <f t="shared" si="95"/>
        <v>1</v>
      </c>
      <c r="P78" s="107" t="e">
        <f t="shared" ref="P78:Q78" si="96">IF((ROUNDUP(P32*0.1,0)-P53-P58)&lt;0,0,ROUNDUP(P32*0.1,0)-P53-P58)</f>
        <v>#N/A</v>
      </c>
      <c r="Q78" s="107" t="e">
        <f t="shared" si="96"/>
        <v>#N/A</v>
      </c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</row>
    <row r="79" spans="1:38">
      <c r="B79" s="113" t="s">
        <v>655</v>
      </c>
      <c r="C79" s="106"/>
      <c r="D79" s="107">
        <f t="shared" si="50"/>
        <v>0</v>
      </c>
      <c r="E79" s="107"/>
      <c r="F79" s="107">
        <f t="shared" ref="F79:O79" si="97">IF(F42-F51-F54&lt;0,0,F42-F51-F54)</f>
        <v>6</v>
      </c>
      <c r="G79" s="107">
        <f t="shared" si="97"/>
        <v>1</v>
      </c>
      <c r="H79" s="107">
        <f t="shared" si="97"/>
        <v>3</v>
      </c>
      <c r="I79" s="107">
        <f t="shared" si="97"/>
        <v>1</v>
      </c>
      <c r="J79" s="107">
        <f t="shared" si="97"/>
        <v>0</v>
      </c>
      <c r="K79" s="107">
        <f t="shared" si="97"/>
        <v>6</v>
      </c>
      <c r="L79" s="107">
        <f t="shared" si="97"/>
        <v>5</v>
      </c>
      <c r="M79" s="107">
        <f t="shared" si="97"/>
        <v>7</v>
      </c>
      <c r="N79" s="107">
        <f t="shared" si="97"/>
        <v>6</v>
      </c>
      <c r="O79" s="107">
        <f t="shared" si="97"/>
        <v>5</v>
      </c>
      <c r="P79" s="107">
        <f t="shared" ref="P79:Q79" si="98">IF(P42-P51-P54&lt;0,0,P42-P51-P54)</f>
        <v>0</v>
      </c>
      <c r="Q79" s="107">
        <f t="shared" si="98"/>
        <v>0</v>
      </c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</row>
    <row r="80" spans="1:38">
      <c r="B80" s="113" t="s">
        <v>641</v>
      </c>
      <c r="C80" s="106"/>
      <c r="D80" s="107">
        <f t="shared" si="50"/>
        <v>435</v>
      </c>
      <c r="E80" s="106"/>
      <c r="F80" s="107">
        <f t="shared" ref="F80:O80" si="99">F70+F50</f>
        <v>272</v>
      </c>
      <c r="G80" s="107">
        <f t="shared" si="99"/>
        <v>394</v>
      </c>
      <c r="H80" s="107">
        <f t="shared" si="99"/>
        <v>248</v>
      </c>
      <c r="I80" s="107">
        <f t="shared" si="99"/>
        <v>151</v>
      </c>
      <c r="J80" s="107">
        <f t="shared" si="99"/>
        <v>435</v>
      </c>
      <c r="K80" s="107">
        <f t="shared" si="99"/>
        <v>244</v>
      </c>
      <c r="L80" s="107">
        <f t="shared" si="99"/>
        <v>198</v>
      </c>
      <c r="M80" s="107">
        <f t="shared" si="99"/>
        <v>468</v>
      </c>
      <c r="N80" s="107">
        <f t="shared" si="99"/>
        <v>219</v>
      </c>
      <c r="O80" s="107">
        <f t="shared" si="99"/>
        <v>256</v>
      </c>
      <c r="P80" s="107" t="e">
        <f t="shared" ref="P80:Q80" si="100">P70+P50</f>
        <v>#N/A</v>
      </c>
      <c r="Q80" s="107" t="e">
        <f t="shared" si="100"/>
        <v>#N/A</v>
      </c>
    </row>
    <row r="81" spans="2:17" ht="45">
      <c r="B81" s="163" t="s">
        <v>644</v>
      </c>
      <c r="C81" s="163" t="s">
        <v>599</v>
      </c>
      <c r="D81" s="169">
        <f>LOOKUP($B$1,E$1:AT$1,E71:AT71)</f>
        <v>325</v>
      </c>
      <c r="E81" s="169"/>
      <c r="F81" s="169">
        <f t="shared" ref="F81:O81" si="101">SUM(F82:F90)</f>
        <v>338</v>
      </c>
      <c r="G81" s="169">
        <f t="shared" si="101"/>
        <v>457</v>
      </c>
      <c r="H81" s="169">
        <f t="shared" si="101"/>
        <v>289</v>
      </c>
      <c r="I81" s="169">
        <f t="shared" si="101"/>
        <v>171</v>
      </c>
      <c r="J81" s="169">
        <f t="shared" si="101"/>
        <v>523</v>
      </c>
      <c r="K81" s="169">
        <f t="shared" si="101"/>
        <v>308</v>
      </c>
      <c r="L81" s="169">
        <f t="shared" si="101"/>
        <v>242</v>
      </c>
      <c r="M81" s="169">
        <f t="shared" si="101"/>
        <v>590</v>
      </c>
      <c r="N81" s="169">
        <f t="shared" si="101"/>
        <v>277</v>
      </c>
      <c r="O81" s="169">
        <f t="shared" si="101"/>
        <v>316</v>
      </c>
      <c r="P81" s="169" t="e">
        <f t="shared" ref="P81:Q81" si="102">SUM(P82:P90)</f>
        <v>#N/A</v>
      </c>
      <c r="Q81" s="169" t="e">
        <f t="shared" si="102"/>
        <v>#N/A</v>
      </c>
    </row>
    <row r="82" spans="2:17">
      <c r="B82" s="119" t="s">
        <v>647</v>
      </c>
      <c r="C82" s="120"/>
      <c r="D82" s="121">
        <f t="shared" ref="D82:D91" si="103">LOOKUP($B$1,E$1:AT$1,E82:AT82)</f>
        <v>397</v>
      </c>
      <c r="E82" s="161"/>
      <c r="F82" s="121">
        <f t="shared" ref="F82:Q82" si="104">F22-F83</f>
        <v>234</v>
      </c>
      <c r="G82" s="121">
        <f t="shared" si="104"/>
        <v>346</v>
      </c>
      <c r="H82" s="121">
        <f t="shared" si="104"/>
        <v>219</v>
      </c>
      <c r="I82" s="121">
        <f t="shared" si="104"/>
        <v>126</v>
      </c>
      <c r="J82" s="121">
        <f t="shared" si="104"/>
        <v>397</v>
      </c>
      <c r="K82" s="121">
        <f t="shared" si="104"/>
        <v>217</v>
      </c>
      <c r="L82" s="121">
        <f t="shared" si="104"/>
        <v>170</v>
      </c>
      <c r="M82" s="121">
        <f t="shared" si="104"/>
        <v>402</v>
      </c>
      <c r="N82" s="121">
        <f t="shared" si="104"/>
        <v>175</v>
      </c>
      <c r="O82" s="121">
        <f t="shared" si="104"/>
        <v>226</v>
      </c>
      <c r="P82" s="121" t="e">
        <f t="shared" si="104"/>
        <v>#N/A</v>
      </c>
      <c r="Q82" s="121" t="e">
        <f t="shared" si="104"/>
        <v>#N/A</v>
      </c>
    </row>
    <row r="83" spans="2:17">
      <c r="B83" s="119" t="s">
        <v>648</v>
      </c>
      <c r="C83" s="120"/>
      <c r="D83" s="121">
        <f t="shared" si="103"/>
        <v>45</v>
      </c>
      <c r="E83" s="161"/>
      <c r="F83" s="121">
        <f t="shared" ref="F83:O83" si="105">ROUNDUP(F22*F$44/100,0)</f>
        <v>42</v>
      </c>
      <c r="G83" s="121">
        <f t="shared" si="105"/>
        <v>62</v>
      </c>
      <c r="H83" s="121">
        <f t="shared" si="105"/>
        <v>39</v>
      </c>
      <c r="I83" s="121">
        <f t="shared" si="105"/>
        <v>23</v>
      </c>
      <c r="J83" s="121">
        <f t="shared" si="105"/>
        <v>45</v>
      </c>
      <c r="K83" s="121">
        <f t="shared" si="105"/>
        <v>25</v>
      </c>
      <c r="L83" s="121">
        <f t="shared" si="105"/>
        <v>31</v>
      </c>
      <c r="M83" s="121">
        <f t="shared" si="105"/>
        <v>71</v>
      </c>
      <c r="N83" s="121">
        <f t="shared" si="105"/>
        <v>31</v>
      </c>
      <c r="O83" s="121">
        <f t="shared" si="105"/>
        <v>40</v>
      </c>
      <c r="P83" s="121" t="e">
        <f t="shared" ref="P83:Q83" si="106">ROUNDUP(P22*P$44/100,0)</f>
        <v>#N/A</v>
      </c>
      <c r="Q83" s="121" t="e">
        <f t="shared" si="106"/>
        <v>#N/A</v>
      </c>
    </row>
    <row r="84" spans="2:17" ht="30">
      <c r="B84" s="119" t="s">
        <v>650</v>
      </c>
      <c r="C84" s="120"/>
      <c r="D84" s="121">
        <f t="shared" si="103"/>
        <v>29</v>
      </c>
      <c r="E84" s="120"/>
      <c r="F84" s="121">
        <f t="shared" ref="F84:Q84" si="107">F27-F86-F52-F55-F56-F85</f>
        <v>20</v>
      </c>
      <c r="G84" s="121">
        <f t="shared" si="107"/>
        <v>16</v>
      </c>
      <c r="H84" s="121">
        <f t="shared" si="107"/>
        <v>12</v>
      </c>
      <c r="I84" s="121">
        <f t="shared" si="107"/>
        <v>4</v>
      </c>
      <c r="J84" s="121">
        <f t="shared" si="107"/>
        <v>29</v>
      </c>
      <c r="K84" s="121">
        <f t="shared" si="107"/>
        <v>18</v>
      </c>
      <c r="L84" s="121">
        <f t="shared" si="107"/>
        <v>15</v>
      </c>
      <c r="M84" s="121">
        <f t="shared" si="107"/>
        <v>34</v>
      </c>
      <c r="N84" s="121">
        <f t="shared" si="107"/>
        <v>15</v>
      </c>
      <c r="O84" s="121">
        <f t="shared" si="107"/>
        <v>19</v>
      </c>
      <c r="P84" s="121" t="e">
        <f t="shared" si="107"/>
        <v>#N/A</v>
      </c>
      <c r="Q84" s="121" t="e">
        <f t="shared" si="107"/>
        <v>#N/A</v>
      </c>
    </row>
    <row r="85" spans="2:17">
      <c r="B85" s="119" t="s">
        <v>649</v>
      </c>
      <c r="C85" s="120"/>
      <c r="D85" s="121">
        <f t="shared" si="103"/>
        <v>5</v>
      </c>
      <c r="E85" s="120"/>
      <c r="F85" s="121">
        <f t="shared" ref="F85:O85" si="108">ROUNDUP(F27*F$44/100,0)</f>
        <v>5</v>
      </c>
      <c r="G85" s="121">
        <f t="shared" si="108"/>
        <v>7</v>
      </c>
      <c r="H85" s="121">
        <f t="shared" si="108"/>
        <v>4</v>
      </c>
      <c r="I85" s="121">
        <f t="shared" si="108"/>
        <v>3</v>
      </c>
      <c r="J85" s="121">
        <f t="shared" si="108"/>
        <v>5</v>
      </c>
      <c r="K85" s="121">
        <f t="shared" si="108"/>
        <v>3</v>
      </c>
      <c r="L85" s="121">
        <f t="shared" si="108"/>
        <v>3</v>
      </c>
      <c r="M85" s="121">
        <f t="shared" si="108"/>
        <v>8</v>
      </c>
      <c r="N85" s="121">
        <f t="shared" si="108"/>
        <v>3</v>
      </c>
      <c r="O85" s="121">
        <f t="shared" si="108"/>
        <v>5</v>
      </c>
      <c r="P85" s="121" t="e">
        <f t="shared" ref="P85:Q85" si="109">ROUNDUP(P27*P$44/100,0)</f>
        <v>#N/A</v>
      </c>
      <c r="Q85" s="121" t="e">
        <f t="shared" si="109"/>
        <v>#N/A</v>
      </c>
    </row>
    <row r="86" spans="2:17">
      <c r="B86" s="119" t="s">
        <v>651</v>
      </c>
      <c r="C86" s="120"/>
      <c r="D86" s="121">
        <f t="shared" si="103"/>
        <v>2</v>
      </c>
      <c r="E86" s="121"/>
      <c r="F86" s="121">
        <f t="shared" ref="F86:O86" si="110">IF((ROUNDUP(F27*0.1,0)-F52-F56)&lt;0,0,(ROUNDUP(F27*0.1,0)-F52-F56))</f>
        <v>3</v>
      </c>
      <c r="G86" s="121">
        <f t="shared" si="110"/>
        <v>3</v>
      </c>
      <c r="H86" s="121">
        <f t="shared" si="110"/>
        <v>2</v>
      </c>
      <c r="I86" s="121">
        <f t="shared" si="110"/>
        <v>1</v>
      </c>
      <c r="J86" s="121">
        <f t="shared" si="110"/>
        <v>2</v>
      </c>
      <c r="K86" s="121">
        <f t="shared" si="110"/>
        <v>3</v>
      </c>
      <c r="L86" s="121">
        <f t="shared" si="110"/>
        <v>2</v>
      </c>
      <c r="M86" s="121">
        <f t="shared" si="110"/>
        <v>5</v>
      </c>
      <c r="N86" s="121">
        <f t="shared" si="110"/>
        <v>2</v>
      </c>
      <c r="O86" s="121">
        <f t="shared" si="110"/>
        <v>3</v>
      </c>
      <c r="P86" s="121" t="e">
        <f t="shared" ref="P86:Q86" si="111">IF((ROUNDUP(P27*0.1,0)-P52-P56)&lt;0,0,(ROUNDUP(P27*0.1,0)-P52-P56))</f>
        <v>#N/A</v>
      </c>
      <c r="Q86" s="121" t="e">
        <f t="shared" si="111"/>
        <v>#N/A</v>
      </c>
    </row>
    <row r="87" spans="2:17" ht="30">
      <c r="B87" s="119" t="s">
        <v>652</v>
      </c>
      <c r="C87" s="120"/>
      <c r="D87" s="121">
        <f t="shared" si="103"/>
        <v>37</v>
      </c>
      <c r="E87" s="121"/>
      <c r="F87" s="121">
        <f t="shared" ref="F87:Q87" si="112">F33-F89-F53-F57-F58-F88</f>
        <v>20</v>
      </c>
      <c r="G87" s="121">
        <f t="shared" si="112"/>
        <v>17</v>
      </c>
      <c r="H87" s="121">
        <f t="shared" si="112"/>
        <v>6</v>
      </c>
      <c r="I87" s="121">
        <f t="shared" si="112"/>
        <v>10</v>
      </c>
      <c r="J87" s="121">
        <f t="shared" si="112"/>
        <v>37</v>
      </c>
      <c r="K87" s="121">
        <f t="shared" si="112"/>
        <v>28</v>
      </c>
      <c r="L87" s="121">
        <f t="shared" si="112"/>
        <v>11</v>
      </c>
      <c r="M87" s="121">
        <f t="shared" si="112"/>
        <v>46</v>
      </c>
      <c r="N87" s="121">
        <f t="shared" si="112"/>
        <v>33</v>
      </c>
      <c r="O87" s="121">
        <f t="shared" si="112"/>
        <v>13</v>
      </c>
      <c r="P87" s="121" t="e">
        <f t="shared" si="112"/>
        <v>#N/A</v>
      </c>
      <c r="Q87" s="121" t="e">
        <f t="shared" si="112"/>
        <v>#N/A</v>
      </c>
    </row>
    <row r="88" spans="2:17">
      <c r="B88" s="119" t="s">
        <v>653</v>
      </c>
      <c r="C88" s="120"/>
      <c r="D88" s="121">
        <f t="shared" si="103"/>
        <v>6</v>
      </c>
      <c r="E88" s="121"/>
      <c r="F88" s="121">
        <f t="shared" ref="F88:O88" si="113">ROUNDUP((F33)*F$44/100,0)</f>
        <v>5</v>
      </c>
      <c r="G88" s="121">
        <f t="shared" si="113"/>
        <v>5</v>
      </c>
      <c r="H88" s="121">
        <f t="shared" si="113"/>
        <v>3</v>
      </c>
      <c r="I88" s="121">
        <f t="shared" si="113"/>
        <v>3</v>
      </c>
      <c r="J88" s="121">
        <f t="shared" si="113"/>
        <v>6</v>
      </c>
      <c r="K88" s="121">
        <f t="shared" si="113"/>
        <v>4</v>
      </c>
      <c r="L88" s="121">
        <f t="shared" si="113"/>
        <v>3</v>
      </c>
      <c r="M88" s="121">
        <f t="shared" si="113"/>
        <v>10</v>
      </c>
      <c r="N88" s="121">
        <f t="shared" si="113"/>
        <v>7</v>
      </c>
      <c r="O88" s="121">
        <f t="shared" si="113"/>
        <v>3</v>
      </c>
      <c r="P88" s="121" t="e">
        <f t="shared" ref="P88:Q88" si="114">ROUNDUP((P33)*P$44/100,0)</f>
        <v>#N/A</v>
      </c>
      <c r="Q88" s="121" t="e">
        <f t="shared" si="114"/>
        <v>#N/A</v>
      </c>
    </row>
    <row r="89" spans="2:17">
      <c r="B89" s="119" t="s">
        <v>654</v>
      </c>
      <c r="C89" s="120"/>
      <c r="D89" s="121">
        <f t="shared" si="103"/>
        <v>2</v>
      </c>
      <c r="E89" s="121"/>
      <c r="F89" s="121">
        <f t="shared" ref="F89:O89" si="115">IF((ROUNDUP(F33*0.1,0)-F53-F58)&lt;0,0,ROUNDUP(F33*0.1,0)-F53-F58)</f>
        <v>3</v>
      </c>
      <c r="G89" s="121">
        <f t="shared" si="115"/>
        <v>0</v>
      </c>
      <c r="H89" s="121">
        <f t="shared" si="115"/>
        <v>1</v>
      </c>
      <c r="I89" s="121">
        <f t="shared" si="115"/>
        <v>0</v>
      </c>
      <c r="J89" s="121">
        <f t="shared" si="115"/>
        <v>2</v>
      </c>
      <c r="K89" s="121">
        <f t="shared" si="115"/>
        <v>4</v>
      </c>
      <c r="L89" s="121">
        <f t="shared" si="115"/>
        <v>2</v>
      </c>
      <c r="M89" s="121">
        <f t="shared" si="115"/>
        <v>7</v>
      </c>
      <c r="N89" s="121">
        <f t="shared" si="115"/>
        <v>5</v>
      </c>
      <c r="O89" s="121">
        <f t="shared" si="115"/>
        <v>2</v>
      </c>
      <c r="P89" s="121" t="e">
        <f t="shared" ref="P89:Q89" si="116">IF((ROUNDUP(P33*0.1,0)-P53-P58)&lt;0,0,ROUNDUP(P33*0.1,0)-P53-P58)</f>
        <v>#N/A</v>
      </c>
      <c r="Q89" s="121" t="e">
        <f t="shared" si="116"/>
        <v>#N/A</v>
      </c>
    </row>
    <row r="90" spans="2:17">
      <c r="B90" s="119" t="s">
        <v>655</v>
      </c>
      <c r="C90" s="120"/>
      <c r="D90" s="121">
        <f t="shared" si="103"/>
        <v>0</v>
      </c>
      <c r="E90" s="121"/>
      <c r="F90" s="121">
        <f t="shared" ref="F90:O90" si="117">IF(F42-F51-F54&lt;0,0,F42-F51-F54)</f>
        <v>6</v>
      </c>
      <c r="G90" s="121">
        <f t="shared" si="117"/>
        <v>1</v>
      </c>
      <c r="H90" s="121">
        <f t="shared" si="117"/>
        <v>3</v>
      </c>
      <c r="I90" s="121">
        <f t="shared" si="117"/>
        <v>1</v>
      </c>
      <c r="J90" s="121">
        <f t="shared" si="117"/>
        <v>0</v>
      </c>
      <c r="K90" s="121">
        <f t="shared" si="117"/>
        <v>6</v>
      </c>
      <c r="L90" s="121">
        <f t="shared" si="117"/>
        <v>5</v>
      </c>
      <c r="M90" s="121">
        <f t="shared" si="117"/>
        <v>7</v>
      </c>
      <c r="N90" s="121">
        <f t="shared" si="117"/>
        <v>6</v>
      </c>
      <c r="O90" s="121">
        <f t="shared" si="117"/>
        <v>5</v>
      </c>
      <c r="P90" s="121">
        <f t="shared" ref="P90:Q90" si="118">IF(P42-P51-P54&lt;0,0,P42-P51-P54)</f>
        <v>0</v>
      </c>
      <c r="Q90" s="121">
        <f t="shared" si="118"/>
        <v>0</v>
      </c>
    </row>
    <row r="91" spans="2:17">
      <c r="B91" s="119" t="s">
        <v>641</v>
      </c>
      <c r="C91" s="120"/>
      <c r="D91" s="121">
        <f t="shared" si="103"/>
        <v>547</v>
      </c>
      <c r="E91" s="120"/>
      <c r="F91" s="162">
        <f t="shared" ref="F91:O91" si="119">F81+F50</f>
        <v>338</v>
      </c>
      <c r="G91" s="162">
        <f t="shared" si="119"/>
        <v>488</v>
      </c>
      <c r="H91" s="162">
        <f t="shared" si="119"/>
        <v>304</v>
      </c>
      <c r="I91" s="162">
        <f t="shared" si="119"/>
        <v>187</v>
      </c>
      <c r="J91" s="162">
        <f t="shared" si="119"/>
        <v>547</v>
      </c>
      <c r="K91" s="162">
        <f t="shared" si="119"/>
        <v>308</v>
      </c>
      <c r="L91" s="162">
        <f t="shared" si="119"/>
        <v>242</v>
      </c>
      <c r="M91" s="162">
        <f t="shared" si="119"/>
        <v>590</v>
      </c>
      <c r="N91" s="162">
        <f t="shared" si="119"/>
        <v>277</v>
      </c>
      <c r="O91" s="162">
        <f t="shared" si="119"/>
        <v>316</v>
      </c>
      <c r="P91" s="162" t="e">
        <f t="shared" ref="P91:Q91" si="120">P81+P50</f>
        <v>#N/A</v>
      </c>
      <c r="Q91" s="162" t="e">
        <f t="shared" si="120"/>
        <v>#N/A</v>
      </c>
    </row>
    <row r="92" spans="2:17">
      <c r="B92" s="146" t="s">
        <v>426</v>
      </c>
      <c r="C92" s="235" t="s">
        <v>452</v>
      </c>
      <c r="D92" s="236"/>
    </row>
    <row r="93" spans="2:17" ht="45">
      <c r="B93" s="114" t="s">
        <v>430</v>
      </c>
      <c r="C93" s="117" t="s">
        <v>429</v>
      </c>
      <c r="D93" s="108">
        <v>1250</v>
      </c>
    </row>
    <row r="94" spans="2:17" ht="30">
      <c r="B94" s="109" t="s">
        <v>424</v>
      </c>
      <c r="C94" s="80" t="s">
        <v>423</v>
      </c>
      <c r="D94" s="108">
        <f>LOOKUP(C92,Таблицы!B148:B153,Таблицы!D148:D153)</f>
        <v>300</v>
      </c>
    </row>
    <row r="95" spans="2:17">
      <c r="B95" s="232" t="str">
        <f>"Nк = S/S1 = ("&amp;D93&amp;" / "&amp;D94&amp;") ="&amp;ROUNDUP((D93/D94),0)&amp;" (шт.)"</f>
        <v>Nк = S/S1 = (1250 / 300) =5 (шт.)</v>
      </c>
      <c r="C95" s="232"/>
      <c r="D95" s="234"/>
    </row>
    <row r="97" spans="2:4">
      <c r="B97" s="110" t="s">
        <v>426</v>
      </c>
      <c r="C97" s="226" t="s">
        <v>451</v>
      </c>
      <c r="D97" s="227"/>
    </row>
    <row r="98" spans="2:4" ht="45">
      <c r="B98" s="122" t="s">
        <v>430</v>
      </c>
      <c r="C98" s="117" t="s">
        <v>429</v>
      </c>
      <c r="D98" s="108">
        <f>350+75</f>
        <v>425</v>
      </c>
    </row>
    <row r="99" spans="2:4" ht="30">
      <c r="B99" s="109" t="s">
        <v>424</v>
      </c>
      <c r="C99" s="80" t="s">
        <v>423</v>
      </c>
      <c r="D99" s="108">
        <f>LOOKUP(C97,Таблицы!B148:B153,Таблицы!D148:D153)</f>
        <v>30</v>
      </c>
    </row>
    <row r="100" spans="2:4">
      <c r="B100" s="232" t="str">
        <f>"Nк = S/S1 = ("&amp;D98&amp;" / "&amp;D99&amp;") ="&amp;ROUNDUP((D98/D99),0)&amp;" (шт.)"</f>
        <v>Nк = S/S1 = (425 / 30) =15 (шт.)</v>
      </c>
      <c r="C100" s="232"/>
      <c r="D100" s="234"/>
    </row>
    <row r="116" spans="2:2">
      <c r="B116" s="77" t="str">
        <f>"Требуется с учётом отклонения 10%: Nк-10 =Nк х 90%  = ("&amp;A42&amp;" х  90%) = "&amp;ROUNDUP(A42*0.9,0)&amp;" (шт.)"</f>
        <v>Требуется с учётом отклонения 10%: Nк-10 =Nк х 90%  = (7 х  90%) = 7 (шт.)</v>
      </c>
    </row>
  </sheetData>
  <sortState xmlns:xlrd2="http://schemas.microsoft.com/office/spreadsheetml/2017/richdata2" ref="S8:S19">
    <sortCondition ref="S8:S19"/>
  </sortState>
  <mergeCells count="28">
    <mergeCell ref="B100:D100"/>
    <mergeCell ref="C92:D92"/>
    <mergeCell ref="B95:D95"/>
    <mergeCell ref="B27:D27"/>
    <mergeCell ref="B33:D33"/>
    <mergeCell ref="B41:D41"/>
    <mergeCell ref="B42:D42"/>
    <mergeCell ref="B43:D43"/>
    <mergeCell ref="B31:D31"/>
    <mergeCell ref="B34:D34"/>
    <mergeCell ref="B35:D35"/>
    <mergeCell ref="C36:D36"/>
    <mergeCell ref="B38:D38"/>
    <mergeCell ref="C39:D39"/>
    <mergeCell ref="B32:D32"/>
    <mergeCell ref="B29:D29"/>
    <mergeCell ref="C97:D97"/>
    <mergeCell ref="B1:D1"/>
    <mergeCell ref="B2:D2"/>
    <mergeCell ref="B17:D17"/>
    <mergeCell ref="B20:D20"/>
    <mergeCell ref="B23:D23"/>
    <mergeCell ref="B24:D24"/>
    <mergeCell ref="B25:D25"/>
    <mergeCell ref="B28:D28"/>
    <mergeCell ref="B26:D26"/>
    <mergeCell ref="B21:D21"/>
    <mergeCell ref="B22:D22"/>
  </mergeCells>
  <dataValidations disablePrompts="1" count="1">
    <dataValidation type="list" allowBlank="1" showInputMessage="1" showErrorMessage="1" sqref="B1:D1" xr:uid="{80E099F3-BFD3-4B59-99E1-4E2B6AAB241B}">
      <formula1>$E$1:$AT$1</formula1>
    </dataValidation>
  </dataValidations>
  <pageMargins left="0.7" right="0.7" top="0.75" bottom="0.36" header="0.3" footer="0.3"/>
  <pageSetup paperSize="8" scale="47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4072190-8C89-4EB6-9E74-2A13CFAFAD49}">
          <x14:formula1>
            <xm:f>Таблицы!$B$4:$B$136</xm:f>
          </x14:formula1>
          <xm:sqref>D12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CEDF-6017-4982-A9A8-B3BF402E0BFF}">
  <sheetPr>
    <outlinePr summaryBelow="0" summaryRight="0"/>
    <pageSetUpPr fitToPage="1"/>
  </sheetPr>
  <dimension ref="A2:V152"/>
  <sheetViews>
    <sheetView view="pageBreakPreview" zoomScale="70" zoomScaleNormal="55" zoomScaleSheetLayoutView="70" workbookViewId="0">
      <pane xSplit="7" ySplit="2" topLeftCell="H3" activePane="bottomRight" state="frozen"/>
      <selection pane="topRight" activeCell="H1" sqref="H1"/>
      <selection pane="bottomLeft" activeCell="A13" sqref="A13"/>
      <selection pane="bottomRight" activeCell="H8" sqref="H8"/>
    </sheetView>
  </sheetViews>
  <sheetFormatPr defaultColWidth="12.5703125" defaultRowHeight="15"/>
  <cols>
    <col min="1" max="1" width="27.7109375" style="61" customWidth="1"/>
    <col min="2" max="2" width="18.28515625" style="61" customWidth="1"/>
    <col min="3" max="3" width="36.7109375" style="61" customWidth="1"/>
    <col min="4" max="4" width="18.140625" style="61" customWidth="1"/>
    <col min="5" max="5" width="12.7109375" style="61" customWidth="1"/>
    <col min="6" max="6" width="9.42578125" style="61" customWidth="1"/>
    <col min="7" max="7" width="21.5703125" style="61" customWidth="1"/>
    <col min="8" max="8" width="16.140625" style="136" customWidth="1"/>
    <col min="9" max="9" width="15.28515625" style="133" bestFit="1" customWidth="1"/>
    <col min="10" max="10" width="17.5703125" style="133" customWidth="1"/>
    <col min="11" max="11" width="15.28515625" style="133" bestFit="1" customWidth="1"/>
    <col min="12" max="12" width="18.28515625" style="133" customWidth="1"/>
    <col min="13" max="13" width="15.28515625" style="133" bestFit="1" customWidth="1"/>
    <col min="14" max="14" width="19.5703125" style="133" customWidth="1"/>
    <col min="15" max="15" width="15.28515625" style="133" bestFit="1" customWidth="1"/>
    <col min="16" max="16" width="21.28515625" style="133" customWidth="1"/>
    <col min="17" max="17" width="15.28515625" style="133" bestFit="1" customWidth="1"/>
    <col min="18" max="18" width="21" style="133" customWidth="1"/>
    <col min="19" max="19" width="15.28515625" style="133" bestFit="1" customWidth="1"/>
    <col min="20" max="20" width="20.42578125" style="133" customWidth="1"/>
    <col min="21" max="21" width="15.28515625" style="133" bestFit="1" customWidth="1"/>
    <col min="22" max="22" width="13.42578125" style="133" bestFit="1" customWidth="1"/>
    <col min="23" max="16384" width="12.5703125" style="61"/>
  </cols>
  <sheetData>
    <row r="2" spans="1:22" ht="30">
      <c r="A2" s="262" t="s">
        <v>596</v>
      </c>
      <c r="B2" s="262"/>
      <c r="C2" s="262"/>
      <c r="D2" s="198"/>
      <c r="E2" s="198"/>
      <c r="F2" s="198"/>
      <c r="G2" s="199" t="s">
        <v>609</v>
      </c>
      <c r="H2" s="137"/>
      <c r="I2" s="127"/>
      <c r="J2" s="128" t="s">
        <v>657</v>
      </c>
      <c r="K2" s="127"/>
      <c r="L2" s="128" t="s">
        <v>658</v>
      </c>
      <c r="M2" s="127"/>
      <c r="N2" s="128" t="s">
        <v>612</v>
      </c>
      <c r="O2" s="127"/>
      <c r="P2" s="128" t="s">
        <v>611</v>
      </c>
      <c r="Q2" s="127"/>
      <c r="R2" s="128" t="s">
        <v>613</v>
      </c>
      <c r="S2" s="127"/>
      <c r="T2" s="128" t="s">
        <v>614</v>
      </c>
      <c r="U2" s="127"/>
      <c r="V2" s="128" t="s">
        <v>605</v>
      </c>
    </row>
    <row r="3" spans="1:22">
      <c r="A3" s="62"/>
      <c r="B3" s="99"/>
      <c r="C3" s="99"/>
      <c r="D3" s="99"/>
      <c r="E3" s="98" t="s">
        <v>395</v>
      </c>
      <c r="F3" s="62" t="s">
        <v>49</v>
      </c>
      <c r="G3" s="62" t="s">
        <v>58</v>
      </c>
      <c r="H3" s="72"/>
      <c r="I3" s="127" t="s">
        <v>49</v>
      </c>
      <c r="J3" s="127" t="s">
        <v>58</v>
      </c>
      <c r="K3" s="127"/>
      <c r="L3" s="127" t="s">
        <v>58</v>
      </c>
      <c r="M3" s="127"/>
      <c r="N3" s="127" t="s">
        <v>58</v>
      </c>
      <c r="O3" s="127"/>
      <c r="P3" s="127" t="s">
        <v>58</v>
      </c>
      <c r="Q3" s="127"/>
      <c r="R3" s="127" t="s">
        <v>58</v>
      </c>
      <c r="S3" s="127"/>
      <c r="T3" s="127" t="s">
        <v>58</v>
      </c>
      <c r="U3" s="127"/>
      <c r="V3" s="127" t="s">
        <v>58</v>
      </c>
    </row>
    <row r="4" spans="1:22">
      <c r="A4" s="62"/>
      <c r="B4" s="63"/>
      <c r="C4" s="63"/>
      <c r="D4" s="63"/>
      <c r="E4" s="98" t="s">
        <v>393</v>
      </c>
      <c r="F4" s="62" t="s">
        <v>50</v>
      </c>
      <c r="G4" s="200">
        <f>LOOKUP($G$2,Расчёт_м_м!E$1:AT$1,Расчёт_м_м!E8:AT8)</f>
        <v>51539.3</v>
      </c>
      <c r="H4" s="72"/>
      <c r="I4" s="127" t="s">
        <v>50</v>
      </c>
      <c r="J4" s="127">
        <f>LOOKUP(J$2,Расчёт_м_м!$E$1:$AT1,Расчёт_м_м!$E8:$AT8)</f>
        <v>28124.7</v>
      </c>
      <c r="K4" s="127"/>
      <c r="L4" s="127">
        <f ca="1">LOOKUP(L$2,Расчёт_м_м!$E$1:AV$1,Расчёт_м_м!$E8:$AT8)</f>
        <v>23414.6</v>
      </c>
      <c r="M4" s="127"/>
      <c r="N4" s="127">
        <f ca="1">LOOKUP(N$2,Расчёт_м_м!$E$1:AX$1,Расчёт_м_м!$E8:$AT8)</f>
        <v>30089</v>
      </c>
      <c r="O4" s="127"/>
      <c r="P4" s="127">
        <f ca="1">LOOKUP(P$2,Расчёт_м_м!$E$1:AZ$1,Расчёт_м_м!$E8:$AT8)</f>
        <v>17431</v>
      </c>
      <c r="Q4" s="127"/>
      <c r="R4" s="127">
        <f ca="1">LOOKUP(R$2,Расчёт_м_м!$E$1:BB$1,Расчёт_м_м!$E8:$AT8)</f>
        <v>24133</v>
      </c>
      <c r="S4" s="127"/>
      <c r="T4" s="127">
        <f ca="1">LOOKUP(T$2,Расчёт_м_м!$E$1:BD$1,Расчёт_м_м!$E8:$AT8)</f>
        <v>30991</v>
      </c>
      <c r="U4" s="127"/>
      <c r="V4" s="127" t="e">
        <f>LOOKUP(V$2,Расчёт_м_м!$E$1:BF$1,Расчёт_м_м!$E8:$AT8)</f>
        <v>#N/A</v>
      </c>
    </row>
    <row r="5" spans="1:22">
      <c r="A5" s="62"/>
      <c r="B5" s="63"/>
      <c r="C5" s="63"/>
      <c r="D5" s="63"/>
      <c r="E5" s="98" t="s">
        <v>681</v>
      </c>
      <c r="F5" s="62" t="s">
        <v>386</v>
      </c>
      <c r="G5" s="200">
        <v>28</v>
      </c>
      <c r="H5" s="72"/>
      <c r="I5" s="127" t="s">
        <v>386</v>
      </c>
      <c r="J5" s="127">
        <v>28</v>
      </c>
      <c r="K5" s="127"/>
      <c r="L5" s="127">
        <v>28</v>
      </c>
      <c r="M5" s="127"/>
      <c r="N5" s="127">
        <v>28</v>
      </c>
      <c r="O5" s="127"/>
      <c r="P5" s="127">
        <v>28</v>
      </c>
      <c r="Q5" s="127"/>
      <c r="R5" s="127">
        <v>28</v>
      </c>
      <c r="S5" s="127"/>
      <c r="T5" s="127">
        <v>28</v>
      </c>
      <c r="U5" s="127"/>
      <c r="V5" s="127">
        <v>28</v>
      </c>
    </row>
    <row r="6" spans="1:22">
      <c r="A6" s="62"/>
      <c r="B6" s="99"/>
      <c r="C6" s="99"/>
      <c r="D6" s="99"/>
      <c r="E6" s="98" t="s">
        <v>391</v>
      </c>
      <c r="F6" s="62" t="s">
        <v>387</v>
      </c>
      <c r="G6" s="201">
        <f>ROUNDUP(G4/G5,0)</f>
        <v>1841</v>
      </c>
      <c r="H6" s="72"/>
      <c r="I6" s="127" t="s">
        <v>387</v>
      </c>
      <c r="J6" s="127">
        <f>ROUNDUP(J4/J5,0)</f>
        <v>1005</v>
      </c>
      <c r="K6" s="127"/>
      <c r="L6" s="127">
        <f ca="1">ROUNDUP(L4/L5,0)</f>
        <v>837</v>
      </c>
      <c r="M6" s="127"/>
      <c r="N6" s="127">
        <f ca="1">ROUNDUP(N4/N5,0)</f>
        <v>1075</v>
      </c>
      <c r="O6" s="127"/>
      <c r="P6" s="127">
        <f ca="1">ROUNDUP(P4/P5,0)</f>
        <v>623</v>
      </c>
      <c r="Q6" s="127"/>
      <c r="R6" s="127">
        <f ca="1">ROUNDUP(R4/R5,0)</f>
        <v>862</v>
      </c>
      <c r="S6" s="127"/>
      <c r="T6" s="127">
        <f ca="1">ROUNDUP(T4/T5,0)</f>
        <v>1107</v>
      </c>
      <c r="U6" s="127"/>
      <c r="V6" s="127" t="e">
        <f>ROUNDUP(V4/V5,0)</f>
        <v>#N/A</v>
      </c>
    </row>
    <row r="7" spans="1:22">
      <c r="A7" s="62"/>
      <c r="B7" s="99"/>
      <c r="C7" s="99"/>
      <c r="D7" s="99"/>
      <c r="E7" s="98" t="s">
        <v>385</v>
      </c>
      <c r="F7" s="62" t="s">
        <v>50</v>
      </c>
      <c r="G7" s="200">
        <f>LOOKUP($G$2,Расчёт_м_м!E$1:AT$1,Расчёт_м_м!E10:AT10)</f>
        <v>3020.54</v>
      </c>
      <c r="H7" s="72"/>
      <c r="I7" s="127" t="s">
        <v>50</v>
      </c>
      <c r="J7" s="127">
        <f>LOOKUP(J$2,Расчёт_м_м!$E$1:AT$1,Расчёт_м_м!$E10:$AT10)</f>
        <v>1998.5100000000002</v>
      </c>
      <c r="K7" s="127"/>
      <c r="L7" s="127">
        <f ca="1">LOOKUP(L$2,Расчёт_м_м!$E$1:AV$1,Расчёт_м_м!$E10:$AT10)</f>
        <v>1022.03</v>
      </c>
      <c r="M7" s="127"/>
      <c r="N7" s="127">
        <f ca="1">LOOKUP(N$2,Расчёт_м_м!$E$1:AX$1,Расчёт_м_м!$E10:$AT10)</f>
        <v>1120</v>
      </c>
      <c r="O7" s="127"/>
      <c r="P7" s="127">
        <f ca="1">LOOKUP(P$2,Расчёт_м_м!$E$1:AZ$1,Расчёт_м_м!$E10:$AT10)</f>
        <v>1367</v>
      </c>
      <c r="Q7" s="127"/>
      <c r="R7" s="127">
        <f ca="1">LOOKUP(R$2,Расчёт_м_м!$E$1:BB$1,Расчёт_м_м!$E10:$AT10)</f>
        <v>3466</v>
      </c>
      <c r="S7" s="127"/>
      <c r="T7" s="127">
        <f ca="1">LOOKUP(T$2,Расчёт_м_м!$E$1:BD$1,Расчёт_м_м!$E10:$AT10)</f>
        <v>1335</v>
      </c>
      <c r="U7" s="127"/>
      <c r="V7" s="127" t="e">
        <f>LOOKUP(V$2,Расчёт_м_м!$E$1:BF$1,Расчёт_м_м!$E10:$AT10)</f>
        <v>#N/A</v>
      </c>
    </row>
    <row r="8" spans="1:22">
      <c r="A8" s="62"/>
      <c r="B8" s="63"/>
      <c r="C8" s="63"/>
      <c r="D8" s="63"/>
      <c r="E8" s="98" t="s">
        <v>392</v>
      </c>
      <c r="F8" s="62" t="s">
        <v>386</v>
      </c>
      <c r="G8" s="200">
        <v>20</v>
      </c>
      <c r="H8" s="72"/>
      <c r="I8" s="127" t="s">
        <v>386</v>
      </c>
      <c r="J8" s="127">
        <v>20</v>
      </c>
      <c r="K8" s="127"/>
      <c r="L8" s="127">
        <v>20</v>
      </c>
      <c r="M8" s="127"/>
      <c r="N8" s="127">
        <v>20</v>
      </c>
      <c r="O8" s="127"/>
      <c r="P8" s="127">
        <v>20</v>
      </c>
      <c r="Q8" s="127"/>
      <c r="R8" s="127">
        <v>20</v>
      </c>
      <c r="S8" s="127"/>
      <c r="T8" s="127">
        <v>20</v>
      </c>
      <c r="U8" s="127"/>
      <c r="V8" s="127">
        <v>30</v>
      </c>
    </row>
    <row r="9" spans="1:22">
      <c r="A9" s="62"/>
      <c r="B9" s="99"/>
      <c r="C9" s="99"/>
      <c r="D9" s="99"/>
      <c r="E9" s="98" t="s">
        <v>394</v>
      </c>
      <c r="F9" s="62" t="s">
        <v>387</v>
      </c>
      <c r="G9" s="201">
        <f>ROUNDUP(G7/G8,0)</f>
        <v>152</v>
      </c>
      <c r="H9" s="72"/>
      <c r="I9" s="127" t="s">
        <v>387</v>
      </c>
      <c r="J9" s="127">
        <f>ROUNDUP(J7/J8,0)</f>
        <v>100</v>
      </c>
      <c r="K9" s="127"/>
      <c r="L9" s="127">
        <f ca="1">ROUNDUP(L7/L8,0)</f>
        <v>52</v>
      </c>
      <c r="M9" s="127"/>
      <c r="N9" s="127">
        <f ca="1">ROUNDUP(N7/N8,0)</f>
        <v>56</v>
      </c>
      <c r="O9" s="127"/>
      <c r="P9" s="127">
        <f ca="1">ROUNDUP(P7/P8,0)</f>
        <v>69</v>
      </c>
      <c r="Q9" s="127"/>
      <c r="R9" s="127">
        <f ca="1">ROUNDUP(R7/R8,0)</f>
        <v>174</v>
      </c>
      <c r="S9" s="127"/>
      <c r="T9" s="127">
        <f ca="1">ROUNDUP(T7/T8,0)</f>
        <v>67</v>
      </c>
      <c r="U9" s="127"/>
      <c r="V9" s="127" t="e">
        <f>ROUNDUP(V7/V8,0)</f>
        <v>#N/A</v>
      </c>
    </row>
    <row r="10" spans="1:22" ht="20.25" customHeight="1">
      <c r="A10" s="62"/>
      <c r="B10" s="63"/>
      <c r="C10" s="63"/>
      <c r="D10" s="63"/>
      <c r="E10" s="98" t="s">
        <v>389</v>
      </c>
      <c r="F10" s="62" t="s">
        <v>388</v>
      </c>
      <c r="G10" s="200">
        <f>LOOKUP($G$2,Расчёт_м_м!E$1:AT$1,Расчёт_м_м!E70:AT70)</f>
        <v>411</v>
      </c>
      <c r="H10" s="72"/>
      <c r="I10" s="127" t="s">
        <v>388</v>
      </c>
      <c r="J10" s="127">
        <f ca="1">LOOKUP(J$2,Расчёт_м_м!$E$1:AV$1,Расчёт_м_м!$E70:$E70)</f>
        <v>244</v>
      </c>
      <c r="K10" s="127"/>
      <c r="L10" s="127">
        <f ca="1">LOOKUP(L$2,Расчёт_м_м!$E$1:AX$1,Расчёт_м_м!$E70:$E70)</f>
        <v>198</v>
      </c>
      <c r="M10" s="127"/>
      <c r="N10" s="127">
        <f ca="1">LOOKUP(N$2,Расчёт_м_м!$E$1:AZ$1,Расчёт_м_м!$E70:$E70)</f>
        <v>233</v>
      </c>
      <c r="O10" s="127"/>
      <c r="P10" s="127">
        <f ca="1">LOOKUP(P$2,Расчёт_м_м!$E$1:BB$1,Расчёт_м_м!$E70:$E70)</f>
        <v>135</v>
      </c>
      <c r="Q10" s="127"/>
      <c r="R10" s="127">
        <f ca="1">LOOKUP(R$2,Расчёт_м_м!$E$1:BD$1,Расчёт_м_м!$E70:$E70)</f>
        <v>219</v>
      </c>
      <c r="S10" s="127"/>
      <c r="T10" s="127">
        <f ca="1">LOOKUP(T$2,Расчёт_м_м!$E$1:BF$1,Расчёт_м_м!$E70:$E70)</f>
        <v>256</v>
      </c>
      <c r="U10" s="127"/>
      <c r="V10" s="127" t="e">
        <f>LOOKUP(V$2,Расчёт_м_м!$E$1:BH$1,Расчёт_м_м!$R45:$AV45)</f>
        <v>#N/A</v>
      </c>
    </row>
    <row r="11" spans="1:22">
      <c r="A11" s="62"/>
      <c r="B11" s="99"/>
      <c r="C11" s="99"/>
      <c r="D11" s="99"/>
      <c r="E11" s="98" t="s">
        <v>390</v>
      </c>
      <c r="F11" s="62" t="s">
        <v>388</v>
      </c>
      <c r="G11" s="200">
        <f>LOOKUP(G$2,Расчёт_м_м!E$1:AT$1,Расчёт_м_м!E51:AT51)+LOOKUP(G$2,Расчёт_м_м!E$1:AT$1,Расчёт_м_м!E52:AT52)+LOOKUP(G$2,Расчёт_м_м!E$1:AT$1,Расчёт_м_м!E53:AT53)</f>
        <v>1</v>
      </c>
      <c r="H11" s="72"/>
      <c r="I11" s="127" t="s">
        <v>388</v>
      </c>
      <c r="J11" s="127">
        <f>LOOKUP(J$2,Расчёт_м_м!$E$1:AT$1,Расчёт_м_м!$E51:AT51)+LOOKUP(J$2,Расчёт_м_м!$E$1:AT$1,Расчёт_м_м!$E52:AT52)+LOOKUP(J$2,Расчёт_м_м!$E$1:AT$1,Расчёт_м_м!$E53:AT53)</f>
        <v>0</v>
      </c>
      <c r="K11" s="127"/>
      <c r="L11" s="127">
        <f>LOOKUP(L$2,Расчёт_м_м!$E$1:AV$1,Расчёт_м_м!$E51:AV51)+LOOKUP(L$2,Расчёт_м_м!$E$1:AV$1,Расчёт_м_м!$E52:AV52)+LOOKUP(L$2,Расчёт_м_м!$E$1:AV$1,Расчёт_м_м!$E53:AV53)</f>
        <v>0</v>
      </c>
      <c r="M11" s="127"/>
      <c r="N11" s="127">
        <f>LOOKUP(N$2,Расчёт_м_м!$E$1:AX$1,Расчёт_м_м!$E51:AX51)+LOOKUP(N$2,Расчёт_м_м!$E$1:AX$1,Расчёт_м_м!$E52:AX52)+LOOKUP(N$2,Расчёт_м_м!$E$1:AX$1,Расчёт_м_м!$E53:AX53)</f>
        <v>0</v>
      </c>
      <c r="O11" s="127"/>
      <c r="P11" s="127">
        <f>LOOKUP(P$2,Расчёт_м_м!$E$1:AZ$1,Расчёт_м_м!$E51:AZ51)+LOOKUP(P$2,Расчёт_м_м!$E$1:AZ$1,Расчёт_м_м!$E52:AZ52)+LOOKUP(P$2,Расчёт_м_м!$E$1:AZ$1,Расчёт_м_м!$E53:AZ53)</f>
        <v>0</v>
      </c>
      <c r="Q11" s="127"/>
      <c r="R11" s="127">
        <f>LOOKUP(R$2,Расчёт_м_м!$E$1:BB$1,Расчёт_м_м!$E51:BB51)+LOOKUP(R$2,Расчёт_м_м!$E$1:BB$1,Расчёт_м_м!$E52:BB52)+LOOKUP(R$2,Расчёт_м_м!$E$1:BB$1,Расчёт_м_м!$E53:BB53)</f>
        <v>0</v>
      </c>
      <c r="S11" s="127"/>
      <c r="T11" s="127">
        <f>LOOKUP(T$2,Расчёт_м_м!$E$1:BD$1,Расчёт_м_м!$E51:BD51)+LOOKUP(T$2,Расчёт_м_м!$E$1:BD$1,Расчёт_м_м!$E52:BD52)+LOOKUP(T$2,Расчёт_м_м!$E$1:BD$1,Расчёт_м_м!$E53:BD53)</f>
        <v>0</v>
      </c>
      <c r="U11" s="127"/>
      <c r="V11" s="127" t="e">
        <f>LOOKUP(V$2,Расчёт_м_м!$E1:$AT1,Расчёт_м_м!$R47:$AT47)+LOOKUP(V2,Расчёт_м_м!$E1:$AT1,Расчёт_м_м!$R48:$AT48)</f>
        <v>#N/A</v>
      </c>
    </row>
    <row r="12" spans="1:22">
      <c r="A12" s="62"/>
      <c r="B12" s="99"/>
      <c r="C12" s="99"/>
      <c r="D12" s="99"/>
      <c r="E12" s="98" t="s">
        <v>405</v>
      </c>
      <c r="F12" s="62" t="s">
        <v>50</v>
      </c>
      <c r="G12" s="200">
        <f>LOOKUP($G$2,Расчёт_м_м!E$1:AT$1,Расчёт_м_м!E6:AT6)</f>
        <v>24274.11</v>
      </c>
      <c r="H12" s="72"/>
      <c r="I12" s="127" t="s">
        <v>50</v>
      </c>
      <c r="J12" s="127">
        <f>LOOKUP(J$2,Расчёт_м_м!$E1:AT$1,Расчёт_м_м!$E6:$AT6)</f>
        <v>16700</v>
      </c>
      <c r="K12" s="127"/>
      <c r="L12" s="127">
        <f ca="1">LOOKUP(L$2,Расчёт_м_м!$E1:AV$1,Расчёт_м_м!$E6:$AT6)</f>
        <v>7574.1100000000006</v>
      </c>
      <c r="M12" s="127"/>
      <c r="N12" s="127">
        <f ca="1">LOOKUP(N$2,Расчёт_м_м!$E1:AX$1,Расчёт_м_м!$E6:$AT6)</f>
        <v>12150</v>
      </c>
      <c r="O12" s="127"/>
      <c r="P12" s="127">
        <f ca="1">LOOKUP(P$2,Расчёт_м_м!$E1:AZ$1,Расчёт_м_м!$E6:$AT6)</f>
        <v>5118.0499999999993</v>
      </c>
      <c r="Q12" s="127"/>
      <c r="R12" s="127">
        <f ca="1">LOOKUP(R$2,Расчёт_м_м!$E1:BB$1,Расчёт_м_м!$E6:$AT6)</f>
        <v>16100</v>
      </c>
      <c r="S12" s="127"/>
      <c r="T12" s="127">
        <f ca="1">LOOKUP(T$2,Расчёт_м_м!$E1:BD$1,Расчёт_м_м!$E6:$AT6)</f>
        <v>8432.6699999999983</v>
      </c>
      <c r="U12" s="127"/>
      <c r="V12" s="127" t="e">
        <f>LOOKUP(V$2,Расчёт_м_м!$E1:BF$1,Расчёт_м_м!$E6:$AT6)</f>
        <v>#N/A</v>
      </c>
    </row>
    <row r="13" spans="1:22">
      <c r="A13" s="62"/>
      <c r="B13" s="97"/>
      <c r="C13" s="97"/>
      <c r="D13" s="97"/>
      <c r="E13" s="100" t="s">
        <v>396</v>
      </c>
      <c r="F13" s="97" t="s">
        <v>380</v>
      </c>
      <c r="G13" s="71">
        <f>ROUNDUP(G17,0)</f>
        <v>16</v>
      </c>
      <c r="H13" s="72"/>
      <c r="I13" s="129" t="s">
        <v>380</v>
      </c>
      <c r="J13" s="127">
        <f ca="1">ROUNDUP(J17,0)</f>
        <v>9</v>
      </c>
      <c r="K13" s="127"/>
      <c r="L13" s="127">
        <f ca="1">ROUNDUP(L17,0)</f>
        <v>7</v>
      </c>
      <c r="M13" s="127"/>
      <c r="N13" s="127">
        <f ca="1">ROUNDUP(N17,0)</f>
        <v>9</v>
      </c>
      <c r="O13" s="127"/>
      <c r="P13" s="127">
        <f ca="1">ROUNDUP(P17,0)</f>
        <v>6</v>
      </c>
      <c r="Q13" s="127"/>
      <c r="R13" s="127">
        <f ca="1">ROUNDUP(R17,0)</f>
        <v>8</v>
      </c>
      <c r="S13" s="127"/>
      <c r="T13" s="127">
        <f ca="1">ROUNDUP(T17,0)</f>
        <v>10</v>
      </c>
      <c r="U13" s="127"/>
      <c r="V13" s="127" t="e">
        <f>ROUNDUP(V17,0)</f>
        <v>#N/A</v>
      </c>
    </row>
    <row r="14" spans="1:22">
      <c r="A14" s="62"/>
      <c r="B14" s="97"/>
      <c r="C14" s="97"/>
      <c r="D14" s="97"/>
      <c r="E14" s="100" t="s">
        <v>397</v>
      </c>
      <c r="F14" s="97" t="s">
        <v>380</v>
      </c>
      <c r="G14" s="97">
        <v>1.1000000000000001</v>
      </c>
      <c r="H14" s="138"/>
      <c r="I14" s="129" t="s">
        <v>380</v>
      </c>
      <c r="J14" s="129">
        <v>1.1000000000000001</v>
      </c>
      <c r="K14" s="129"/>
      <c r="L14" s="129">
        <v>1.1000000000000001</v>
      </c>
      <c r="M14" s="129"/>
      <c r="N14" s="129">
        <v>1.1000000000000001</v>
      </c>
      <c r="O14" s="129"/>
      <c r="P14" s="129">
        <v>1.1000000000000001</v>
      </c>
      <c r="Q14" s="129"/>
      <c r="R14" s="129">
        <v>1.1000000000000001</v>
      </c>
      <c r="S14" s="129"/>
      <c r="T14" s="129">
        <v>1.1000000000000001</v>
      </c>
      <c r="U14" s="129"/>
      <c r="V14" s="129">
        <v>1.1000000000000001</v>
      </c>
    </row>
    <row r="15" spans="1:22">
      <c r="A15" s="62"/>
      <c r="B15" s="97"/>
      <c r="C15" s="97"/>
      <c r="D15" s="97"/>
      <c r="E15" s="100" t="s">
        <v>419</v>
      </c>
      <c r="F15" s="97" t="s">
        <v>388</v>
      </c>
      <c r="G15" s="97">
        <f>ROUNDUP(G13/G14,0)</f>
        <v>15</v>
      </c>
      <c r="H15" s="138"/>
      <c r="I15" s="129" t="s">
        <v>388</v>
      </c>
      <c r="J15" s="129">
        <f ca="1">ROUNDUP(J13/J14,0)</f>
        <v>9</v>
      </c>
      <c r="K15" s="129"/>
      <c r="L15" s="129">
        <f ca="1">ROUNDUP(L13/L14,0)</f>
        <v>7</v>
      </c>
      <c r="M15" s="129"/>
      <c r="N15" s="129">
        <f ca="1">ROUNDUP(N13/N14,0)</f>
        <v>9</v>
      </c>
      <c r="O15" s="129"/>
      <c r="P15" s="129">
        <f ca="1">ROUNDUP(P13/P14,0)</f>
        <v>6</v>
      </c>
      <c r="Q15" s="129"/>
      <c r="R15" s="129">
        <f ca="1">ROUNDUP(R13/R14,0)</f>
        <v>8</v>
      </c>
      <c r="S15" s="129"/>
      <c r="T15" s="129">
        <f ca="1">ROUNDUP(T13/T14,0)</f>
        <v>10</v>
      </c>
      <c r="U15" s="129"/>
      <c r="V15" s="129" t="e">
        <f>ROUNDUP(V13/V14,0)</f>
        <v>#N/A</v>
      </c>
    </row>
    <row r="16" spans="1:22" ht="75">
      <c r="A16" s="171" t="s">
        <v>314</v>
      </c>
      <c r="B16" s="171" t="s">
        <v>315</v>
      </c>
      <c r="C16" s="171" t="s">
        <v>602</v>
      </c>
      <c r="D16" s="171" t="s">
        <v>316</v>
      </c>
      <c r="E16" s="171" t="s">
        <v>317</v>
      </c>
      <c r="F16" s="100"/>
      <c r="G16" s="100" t="s">
        <v>381</v>
      </c>
      <c r="H16" s="139"/>
      <c r="I16" s="129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</row>
    <row r="17" spans="1:22" ht="90">
      <c r="A17" s="74"/>
      <c r="B17" s="74"/>
      <c r="C17" s="74"/>
      <c r="D17" s="171"/>
      <c r="E17" s="171"/>
      <c r="F17" s="70" t="s">
        <v>383</v>
      </c>
      <c r="G17" s="71">
        <f>G19/365</f>
        <v>15.51179506849315</v>
      </c>
      <c r="H17" s="72"/>
      <c r="I17" s="127"/>
      <c r="J17" s="127">
        <f ca="1">J19/365</f>
        <v>8.5371199999999998</v>
      </c>
      <c r="K17" s="127"/>
      <c r="L17" s="127">
        <f ca="1">L19/365</f>
        <v>6.9963901369863004</v>
      </c>
      <c r="M17" s="127"/>
      <c r="N17" s="127">
        <f ca="1">N19/365</f>
        <v>8.9377479452054782</v>
      </c>
      <c r="O17" s="127"/>
      <c r="P17" s="127">
        <f ca="1">P19/365</f>
        <v>5.3031835616438352</v>
      </c>
      <c r="Q17" s="127"/>
      <c r="R17" s="127">
        <f ca="1">R19/365</f>
        <v>7.6350958904109589</v>
      </c>
      <c r="S17" s="127"/>
      <c r="T17" s="127">
        <f ca="1">T19/365</f>
        <v>9.2495013698630135</v>
      </c>
      <c r="U17" s="127"/>
      <c r="V17" s="127" t="e">
        <f>V19/365</f>
        <v>#N/A</v>
      </c>
    </row>
    <row r="18" spans="1:22" ht="60">
      <c r="A18" s="74"/>
      <c r="B18" s="74"/>
      <c r="C18" s="74"/>
      <c r="D18" s="171"/>
      <c r="E18" s="171"/>
      <c r="F18" s="70" t="s">
        <v>382</v>
      </c>
      <c r="G18" s="70" t="s">
        <v>384</v>
      </c>
      <c r="H18" s="140"/>
      <c r="I18" s="127"/>
      <c r="J18" s="130" t="s">
        <v>384</v>
      </c>
      <c r="K18" s="127"/>
      <c r="L18" s="130" t="s">
        <v>384</v>
      </c>
      <c r="M18" s="127"/>
      <c r="N18" s="130" t="s">
        <v>384</v>
      </c>
      <c r="O18" s="127"/>
      <c r="P18" s="130" t="s">
        <v>384</v>
      </c>
      <c r="Q18" s="127"/>
      <c r="R18" s="130" t="s">
        <v>384</v>
      </c>
      <c r="S18" s="127"/>
      <c r="T18" s="130" t="s">
        <v>384</v>
      </c>
      <c r="U18" s="127"/>
      <c r="V18" s="130" t="s">
        <v>384</v>
      </c>
    </row>
    <row r="19" spans="1:22">
      <c r="A19" s="171">
        <v>1</v>
      </c>
      <c r="B19" s="171">
        <v>2</v>
      </c>
      <c r="C19" s="171">
        <v>3</v>
      </c>
      <c r="D19" s="171">
        <v>4</v>
      </c>
      <c r="E19" s="171">
        <v>5</v>
      </c>
      <c r="F19" s="71"/>
      <c r="G19" s="71">
        <f>SUM(G20:G64)</f>
        <v>5661.8051999999998</v>
      </c>
      <c r="H19" s="72"/>
      <c r="I19" s="127"/>
      <c r="J19" s="127">
        <f ca="1">SUM(J20:J64)</f>
        <v>3116.0488</v>
      </c>
      <c r="K19" s="127"/>
      <c r="L19" s="127">
        <f ca="1">SUM(L20:L64)</f>
        <v>2553.6823999999997</v>
      </c>
      <c r="M19" s="127"/>
      <c r="N19" s="127">
        <f ca="1">SUM(N20:N64)</f>
        <v>3262.2779999999998</v>
      </c>
      <c r="O19" s="127"/>
      <c r="P19" s="127">
        <f ca="1">SUM(P20:P64)</f>
        <v>1935.6619999999998</v>
      </c>
      <c r="Q19" s="127"/>
      <c r="R19" s="127">
        <f ca="1">SUM(R20:R64)</f>
        <v>2786.81</v>
      </c>
      <c r="S19" s="127"/>
      <c r="T19" s="127">
        <f ca="1">SUM(T20:T64)</f>
        <v>3376.0679999999998</v>
      </c>
      <c r="U19" s="127"/>
      <c r="V19" s="127" t="e">
        <f>SUM(V20:V64)</f>
        <v>#N/A</v>
      </c>
    </row>
    <row r="20" spans="1:22" ht="45">
      <c r="A20" s="202" t="s">
        <v>318</v>
      </c>
      <c r="B20" s="171">
        <v>1</v>
      </c>
      <c r="C20" s="172" t="s">
        <v>319</v>
      </c>
      <c r="D20" s="171" t="s">
        <v>320</v>
      </c>
      <c r="E20" s="171">
        <v>1.129</v>
      </c>
      <c r="F20" s="71"/>
      <c r="G20" s="71">
        <f t="shared" ref="G20:J64" si="0">$E20*F20</f>
        <v>0</v>
      </c>
      <c r="H20" s="72"/>
      <c r="I20" s="127"/>
      <c r="J20" s="127">
        <f t="shared" si="0"/>
        <v>0</v>
      </c>
      <c r="K20" s="127"/>
      <c r="L20" s="127">
        <f t="shared" ref="L20:L22" si="1">$E20*K20</f>
        <v>0</v>
      </c>
      <c r="M20" s="127"/>
      <c r="N20" s="127">
        <f t="shared" ref="N20:N22" si="2">$E20*M20</f>
        <v>0</v>
      </c>
      <c r="O20" s="127"/>
      <c r="P20" s="127">
        <f t="shared" ref="P20:P22" si="3">$E20*O20</f>
        <v>0</v>
      </c>
      <c r="Q20" s="127"/>
      <c r="R20" s="127">
        <f t="shared" ref="R20:R22" si="4">$E20*Q20</f>
        <v>0</v>
      </c>
      <c r="S20" s="127"/>
      <c r="T20" s="127">
        <f t="shared" ref="T20:T22" si="5">$E20*S20</f>
        <v>0</v>
      </c>
      <c r="U20" s="127"/>
      <c r="V20" s="127">
        <f t="shared" ref="V20:V22" si="6">$E20*U20</f>
        <v>0</v>
      </c>
    </row>
    <row r="21" spans="1:22">
      <c r="A21" s="74"/>
      <c r="B21" s="171">
        <v>2</v>
      </c>
      <c r="C21" s="172" t="s">
        <v>321</v>
      </c>
      <c r="D21" s="171" t="s">
        <v>320</v>
      </c>
      <c r="E21" s="171">
        <v>0.98399999999999999</v>
      </c>
      <c r="F21" s="71"/>
      <c r="G21" s="71">
        <f t="shared" si="0"/>
        <v>0</v>
      </c>
      <c r="H21" s="72"/>
      <c r="I21" s="127"/>
      <c r="J21" s="127">
        <f t="shared" si="0"/>
        <v>0</v>
      </c>
      <c r="K21" s="127"/>
      <c r="L21" s="127">
        <f t="shared" si="1"/>
        <v>0</v>
      </c>
      <c r="M21" s="127"/>
      <c r="N21" s="127">
        <f t="shared" si="2"/>
        <v>0</v>
      </c>
      <c r="O21" s="127"/>
      <c r="P21" s="127">
        <f t="shared" si="3"/>
        <v>0</v>
      </c>
      <c r="Q21" s="127"/>
      <c r="R21" s="127">
        <f t="shared" si="4"/>
        <v>0</v>
      </c>
      <c r="S21" s="127"/>
      <c r="T21" s="127">
        <f t="shared" si="5"/>
        <v>0</v>
      </c>
      <c r="U21" s="127"/>
      <c r="V21" s="127">
        <f t="shared" si="6"/>
        <v>0</v>
      </c>
    </row>
    <row r="22" spans="1:22">
      <c r="A22" s="74"/>
      <c r="B22" s="171">
        <v>3</v>
      </c>
      <c r="C22" s="172" t="s">
        <v>322</v>
      </c>
      <c r="D22" s="171" t="s">
        <v>320</v>
      </c>
      <c r="E22" s="171">
        <v>4.8259999999999996</v>
      </c>
      <c r="F22" s="71"/>
      <c r="G22" s="71">
        <f t="shared" si="0"/>
        <v>0</v>
      </c>
      <c r="H22" s="72"/>
      <c r="I22" s="127"/>
      <c r="J22" s="127">
        <f t="shared" si="0"/>
        <v>0</v>
      </c>
      <c r="K22" s="127"/>
      <c r="L22" s="127">
        <f t="shared" si="1"/>
        <v>0</v>
      </c>
      <c r="M22" s="127"/>
      <c r="N22" s="127">
        <f t="shared" si="2"/>
        <v>0</v>
      </c>
      <c r="O22" s="127"/>
      <c r="P22" s="127">
        <f t="shared" si="3"/>
        <v>0</v>
      </c>
      <c r="Q22" s="127"/>
      <c r="R22" s="127">
        <f t="shared" si="4"/>
        <v>0</v>
      </c>
      <c r="S22" s="127"/>
      <c r="T22" s="127">
        <f t="shared" si="5"/>
        <v>0</v>
      </c>
      <c r="U22" s="127"/>
      <c r="V22" s="127">
        <f t="shared" si="6"/>
        <v>0</v>
      </c>
    </row>
    <row r="23" spans="1:22" ht="30">
      <c r="A23" s="74"/>
      <c r="B23" s="171">
        <v>4</v>
      </c>
      <c r="C23" s="172" t="s">
        <v>323</v>
      </c>
      <c r="D23" s="171" t="s">
        <v>320</v>
      </c>
      <c r="E23" s="171">
        <v>1.252</v>
      </c>
      <c r="F23" s="71">
        <f>G9</f>
        <v>152</v>
      </c>
      <c r="G23" s="71">
        <f>$E23*F23</f>
        <v>190.304</v>
      </c>
      <c r="H23" s="72"/>
      <c r="I23" s="127">
        <f>J9</f>
        <v>100</v>
      </c>
      <c r="J23" s="127">
        <f>$E23*I23</f>
        <v>125.2</v>
      </c>
      <c r="K23" s="127">
        <f ca="1">L9</f>
        <v>52</v>
      </c>
      <c r="L23" s="127">
        <f ca="1">$E23*K23</f>
        <v>65.103999999999999</v>
      </c>
      <c r="M23" s="127">
        <f ca="1">N9</f>
        <v>56</v>
      </c>
      <c r="N23" s="127">
        <f ca="1">$E23*M23</f>
        <v>70.111999999999995</v>
      </c>
      <c r="O23" s="127">
        <f ca="1">P9</f>
        <v>69</v>
      </c>
      <c r="P23" s="127">
        <f ca="1">$E23*O23</f>
        <v>86.388000000000005</v>
      </c>
      <c r="Q23" s="127">
        <f ca="1">R9</f>
        <v>174</v>
      </c>
      <c r="R23" s="127">
        <f ca="1">$E23*Q23</f>
        <v>217.84800000000001</v>
      </c>
      <c r="S23" s="127">
        <f ca="1">T9</f>
        <v>67</v>
      </c>
      <c r="T23" s="127">
        <f ca="1">$E23*S23</f>
        <v>83.884</v>
      </c>
      <c r="U23" s="127" t="e">
        <f>V9</f>
        <v>#N/A</v>
      </c>
      <c r="V23" s="127" t="e">
        <f>$E23*U23</f>
        <v>#N/A</v>
      </c>
    </row>
    <row r="24" spans="1:22">
      <c r="A24" s="202" t="s">
        <v>324</v>
      </c>
      <c r="B24" s="171">
        <v>5</v>
      </c>
      <c r="C24" s="172" t="s">
        <v>325</v>
      </c>
      <c r="D24" s="171" t="s">
        <v>326</v>
      </c>
      <c r="E24" s="171">
        <v>0.41</v>
      </c>
      <c r="F24" s="71"/>
      <c r="G24" s="71">
        <f t="shared" si="0"/>
        <v>0</v>
      </c>
      <c r="H24" s="72"/>
      <c r="I24" s="127"/>
      <c r="J24" s="127">
        <f t="shared" si="0"/>
        <v>0</v>
      </c>
      <c r="K24" s="127"/>
      <c r="L24" s="127">
        <f t="shared" ref="L24:L64" si="7">$E24*K24</f>
        <v>0</v>
      </c>
      <c r="M24" s="127"/>
      <c r="N24" s="127">
        <f t="shared" ref="N24:N64" si="8">$E24*M24</f>
        <v>0</v>
      </c>
      <c r="O24" s="127"/>
      <c r="P24" s="127">
        <f t="shared" ref="P24:P64" si="9">$E24*O24</f>
        <v>0</v>
      </c>
      <c r="Q24" s="127"/>
      <c r="R24" s="127">
        <f t="shared" ref="R24:R64" si="10">$E24*Q24</f>
        <v>0</v>
      </c>
      <c r="S24" s="127"/>
      <c r="T24" s="127">
        <f t="shared" ref="T24:T64" si="11">$E24*S24</f>
        <v>0</v>
      </c>
      <c r="U24" s="127"/>
      <c r="V24" s="127">
        <f t="shared" ref="V24:V64" si="12">$E24*U24</f>
        <v>0</v>
      </c>
    </row>
    <row r="25" spans="1:22">
      <c r="A25" s="74"/>
      <c r="B25" s="171">
        <v>6</v>
      </c>
      <c r="C25" s="172" t="s">
        <v>327</v>
      </c>
      <c r="D25" s="171" t="s">
        <v>326</v>
      </c>
      <c r="E25" s="171">
        <v>0.24</v>
      </c>
      <c r="F25" s="71"/>
      <c r="G25" s="71">
        <f t="shared" si="0"/>
        <v>0</v>
      </c>
      <c r="H25" s="72"/>
      <c r="I25" s="127"/>
      <c r="J25" s="127">
        <f t="shared" si="0"/>
        <v>0</v>
      </c>
      <c r="K25" s="127"/>
      <c r="L25" s="127">
        <f t="shared" si="7"/>
        <v>0</v>
      </c>
      <c r="M25" s="127"/>
      <c r="N25" s="127">
        <f t="shared" si="8"/>
        <v>0</v>
      </c>
      <c r="O25" s="127"/>
      <c r="P25" s="127">
        <f t="shared" si="9"/>
        <v>0</v>
      </c>
      <c r="Q25" s="127"/>
      <c r="R25" s="127">
        <f t="shared" si="10"/>
        <v>0</v>
      </c>
      <c r="S25" s="127"/>
      <c r="T25" s="127">
        <f t="shared" si="11"/>
        <v>0</v>
      </c>
      <c r="U25" s="127"/>
      <c r="V25" s="127">
        <f t="shared" si="12"/>
        <v>0</v>
      </c>
    </row>
    <row r="26" spans="1:22">
      <c r="A26" s="74"/>
      <c r="B26" s="171">
        <v>7</v>
      </c>
      <c r="C26" s="172" t="s">
        <v>328</v>
      </c>
      <c r="D26" s="171" t="s">
        <v>326</v>
      </c>
      <c r="E26" s="171">
        <v>0.67600000000000005</v>
      </c>
      <c r="F26" s="71"/>
      <c r="G26" s="71">
        <f t="shared" si="0"/>
        <v>0</v>
      </c>
      <c r="H26" s="72"/>
      <c r="I26" s="127"/>
      <c r="J26" s="127">
        <f t="shared" si="0"/>
        <v>0</v>
      </c>
      <c r="K26" s="127"/>
      <c r="L26" s="127">
        <f t="shared" si="7"/>
        <v>0</v>
      </c>
      <c r="M26" s="127"/>
      <c r="N26" s="127">
        <f t="shared" si="8"/>
        <v>0</v>
      </c>
      <c r="O26" s="127"/>
      <c r="P26" s="127">
        <f t="shared" si="9"/>
        <v>0</v>
      </c>
      <c r="Q26" s="127"/>
      <c r="R26" s="127">
        <f t="shared" si="10"/>
        <v>0</v>
      </c>
      <c r="S26" s="127"/>
      <c r="T26" s="127">
        <f t="shared" si="11"/>
        <v>0</v>
      </c>
      <c r="U26" s="127"/>
      <c r="V26" s="127">
        <f t="shared" si="12"/>
        <v>0</v>
      </c>
    </row>
    <row r="27" spans="1:22">
      <c r="A27" s="74"/>
      <c r="B27" s="171">
        <v>8</v>
      </c>
      <c r="C27" s="172" t="s">
        <v>329</v>
      </c>
      <c r="D27" s="171" t="s">
        <v>326</v>
      </c>
      <c r="E27" s="171">
        <v>0.82</v>
      </c>
      <c r="F27" s="71"/>
      <c r="G27" s="71">
        <f t="shared" si="0"/>
        <v>0</v>
      </c>
      <c r="H27" s="72"/>
      <c r="I27" s="127"/>
      <c r="J27" s="127">
        <f t="shared" si="0"/>
        <v>0</v>
      </c>
      <c r="K27" s="127"/>
      <c r="L27" s="127">
        <f t="shared" si="7"/>
        <v>0</v>
      </c>
      <c r="M27" s="127"/>
      <c r="N27" s="127">
        <f t="shared" si="8"/>
        <v>0</v>
      </c>
      <c r="O27" s="127"/>
      <c r="P27" s="127">
        <f t="shared" si="9"/>
        <v>0</v>
      </c>
      <c r="Q27" s="127"/>
      <c r="R27" s="127">
        <f t="shared" si="10"/>
        <v>0</v>
      </c>
      <c r="S27" s="127"/>
      <c r="T27" s="127">
        <f t="shared" si="11"/>
        <v>0</v>
      </c>
      <c r="U27" s="127"/>
      <c r="V27" s="127">
        <f t="shared" si="12"/>
        <v>0</v>
      </c>
    </row>
    <row r="28" spans="1:22">
      <c r="A28" s="74"/>
      <c r="B28" s="171">
        <v>9</v>
      </c>
      <c r="C28" s="172" t="s">
        <v>330</v>
      </c>
      <c r="D28" s="171" t="s">
        <v>326</v>
      </c>
      <c r="E28" s="171">
        <v>0.19</v>
      </c>
      <c r="F28" s="71"/>
      <c r="G28" s="71">
        <f t="shared" si="0"/>
        <v>0</v>
      </c>
      <c r="H28" s="72"/>
      <c r="I28" s="127"/>
      <c r="J28" s="127">
        <f t="shared" si="0"/>
        <v>0</v>
      </c>
      <c r="K28" s="127"/>
      <c r="L28" s="127">
        <f t="shared" si="7"/>
        <v>0</v>
      </c>
      <c r="M28" s="127"/>
      <c r="N28" s="127">
        <f t="shared" si="8"/>
        <v>0</v>
      </c>
      <c r="O28" s="127"/>
      <c r="P28" s="127">
        <f t="shared" si="9"/>
        <v>0</v>
      </c>
      <c r="Q28" s="127"/>
      <c r="R28" s="127">
        <f t="shared" si="10"/>
        <v>0</v>
      </c>
      <c r="S28" s="127"/>
      <c r="T28" s="127">
        <f t="shared" si="11"/>
        <v>0</v>
      </c>
      <c r="U28" s="127"/>
      <c r="V28" s="127">
        <f t="shared" si="12"/>
        <v>0</v>
      </c>
    </row>
    <row r="29" spans="1:22">
      <c r="A29" s="74"/>
      <c r="B29" s="171">
        <v>10</v>
      </c>
      <c r="C29" s="172" t="s">
        <v>331</v>
      </c>
      <c r="D29" s="171" t="s">
        <v>326</v>
      </c>
      <c r="E29" s="171">
        <v>0.33500000000000002</v>
      </c>
      <c r="F29" s="71"/>
      <c r="G29" s="71">
        <f t="shared" si="0"/>
        <v>0</v>
      </c>
      <c r="H29" s="72"/>
      <c r="I29" s="127"/>
      <c r="J29" s="127">
        <f t="shared" si="0"/>
        <v>0</v>
      </c>
      <c r="K29" s="127"/>
      <c r="L29" s="127">
        <f t="shared" si="7"/>
        <v>0</v>
      </c>
      <c r="M29" s="127"/>
      <c r="N29" s="127">
        <f t="shared" si="8"/>
        <v>0</v>
      </c>
      <c r="O29" s="127"/>
      <c r="P29" s="127">
        <f t="shared" si="9"/>
        <v>0</v>
      </c>
      <c r="Q29" s="127"/>
      <c r="R29" s="127">
        <f t="shared" si="10"/>
        <v>0</v>
      </c>
      <c r="S29" s="127"/>
      <c r="T29" s="127">
        <f t="shared" si="11"/>
        <v>0</v>
      </c>
      <c r="U29" s="127"/>
      <c r="V29" s="127">
        <f t="shared" si="12"/>
        <v>0</v>
      </c>
    </row>
    <row r="30" spans="1:22">
      <c r="A30" s="74"/>
      <c r="B30" s="171">
        <v>11</v>
      </c>
      <c r="C30" s="172" t="s">
        <v>332</v>
      </c>
      <c r="D30" s="171" t="s">
        <v>326</v>
      </c>
      <c r="E30" s="171">
        <v>3.4000000000000002E-2</v>
      </c>
      <c r="F30" s="71"/>
      <c r="G30" s="71">
        <f t="shared" si="0"/>
        <v>0</v>
      </c>
      <c r="H30" s="72"/>
      <c r="I30" s="127"/>
      <c r="J30" s="127">
        <f t="shared" si="0"/>
        <v>0</v>
      </c>
      <c r="K30" s="127"/>
      <c r="L30" s="127">
        <f t="shared" si="7"/>
        <v>0</v>
      </c>
      <c r="M30" s="127"/>
      <c r="N30" s="127">
        <f t="shared" si="8"/>
        <v>0</v>
      </c>
      <c r="O30" s="127"/>
      <c r="P30" s="127">
        <f t="shared" si="9"/>
        <v>0</v>
      </c>
      <c r="Q30" s="127"/>
      <c r="R30" s="127">
        <f t="shared" si="10"/>
        <v>0</v>
      </c>
      <c r="S30" s="127"/>
      <c r="T30" s="127">
        <f t="shared" si="11"/>
        <v>0</v>
      </c>
      <c r="U30" s="127"/>
      <c r="V30" s="127">
        <f t="shared" si="12"/>
        <v>0</v>
      </c>
    </row>
    <row r="31" spans="1:22" ht="45">
      <c r="A31" s="202" t="s">
        <v>333</v>
      </c>
      <c r="B31" s="171">
        <v>12</v>
      </c>
      <c r="C31" s="172" t="s">
        <v>334</v>
      </c>
      <c r="D31" s="171" t="s">
        <v>335</v>
      </c>
      <c r="E31" s="171">
        <v>1.972</v>
      </c>
      <c r="F31" s="71"/>
      <c r="G31" s="71">
        <f t="shared" si="0"/>
        <v>0</v>
      </c>
      <c r="H31" s="72"/>
      <c r="I31" s="127"/>
      <c r="J31" s="127">
        <f t="shared" si="0"/>
        <v>0</v>
      </c>
      <c r="K31" s="127"/>
      <c r="L31" s="127">
        <f t="shared" si="7"/>
        <v>0</v>
      </c>
      <c r="M31" s="127"/>
      <c r="N31" s="127">
        <f t="shared" si="8"/>
        <v>0</v>
      </c>
      <c r="O31" s="127"/>
      <c r="P31" s="127">
        <f t="shared" si="9"/>
        <v>0</v>
      </c>
      <c r="Q31" s="127"/>
      <c r="R31" s="127">
        <f t="shared" si="10"/>
        <v>0</v>
      </c>
      <c r="S31" s="127"/>
      <c r="T31" s="127">
        <f t="shared" si="11"/>
        <v>0</v>
      </c>
      <c r="U31" s="127"/>
      <c r="V31" s="127">
        <f t="shared" si="12"/>
        <v>0</v>
      </c>
    </row>
    <row r="32" spans="1:22">
      <c r="A32" s="74"/>
      <c r="B32" s="171">
        <v>13</v>
      </c>
      <c r="C32" s="172" t="s">
        <v>336</v>
      </c>
      <c r="D32" s="171" t="s">
        <v>337</v>
      </c>
      <c r="E32" s="171">
        <v>7.4329999999999998</v>
      </c>
      <c r="F32" s="71"/>
      <c r="G32" s="71">
        <f t="shared" si="0"/>
        <v>0</v>
      </c>
      <c r="H32" s="72"/>
      <c r="I32" s="127"/>
      <c r="J32" s="127">
        <f t="shared" si="0"/>
        <v>0</v>
      </c>
      <c r="K32" s="127"/>
      <c r="L32" s="127">
        <f t="shared" si="7"/>
        <v>0</v>
      </c>
      <c r="M32" s="127"/>
      <c r="N32" s="127">
        <f t="shared" si="8"/>
        <v>0</v>
      </c>
      <c r="O32" s="127"/>
      <c r="P32" s="127">
        <f t="shared" si="9"/>
        <v>0</v>
      </c>
      <c r="Q32" s="127"/>
      <c r="R32" s="127">
        <f t="shared" si="10"/>
        <v>0</v>
      </c>
      <c r="S32" s="127"/>
      <c r="T32" s="127">
        <f t="shared" si="11"/>
        <v>0</v>
      </c>
      <c r="U32" s="127"/>
      <c r="V32" s="127">
        <f t="shared" si="12"/>
        <v>0</v>
      </c>
    </row>
    <row r="33" spans="1:22">
      <c r="A33" s="74"/>
      <c r="B33" s="171">
        <v>14</v>
      </c>
      <c r="C33" s="172" t="s">
        <v>338</v>
      </c>
      <c r="D33" s="171" t="s">
        <v>335</v>
      </c>
      <c r="E33" s="171">
        <v>0.44400000000000001</v>
      </c>
      <c r="F33" s="71">
        <f>G11</f>
        <v>1</v>
      </c>
      <c r="G33" s="71">
        <f t="shared" si="0"/>
        <v>0.44400000000000001</v>
      </c>
      <c r="H33" s="72"/>
      <c r="I33" s="127">
        <f>J11</f>
        <v>0</v>
      </c>
      <c r="J33" s="127">
        <f t="shared" si="0"/>
        <v>0</v>
      </c>
      <c r="K33" s="127">
        <f>L11</f>
        <v>0</v>
      </c>
      <c r="L33" s="127">
        <f t="shared" si="7"/>
        <v>0</v>
      </c>
      <c r="M33" s="127">
        <f>N11</f>
        <v>0</v>
      </c>
      <c r="N33" s="127">
        <f t="shared" si="8"/>
        <v>0</v>
      </c>
      <c r="O33" s="127">
        <f>P11</f>
        <v>0</v>
      </c>
      <c r="P33" s="127">
        <f t="shared" si="9"/>
        <v>0</v>
      </c>
      <c r="Q33" s="127">
        <f>R11</f>
        <v>0</v>
      </c>
      <c r="R33" s="127">
        <f t="shared" si="10"/>
        <v>0</v>
      </c>
      <c r="S33" s="127">
        <f>T11</f>
        <v>0</v>
      </c>
      <c r="T33" s="127">
        <f t="shared" si="11"/>
        <v>0</v>
      </c>
      <c r="U33" s="127" t="e">
        <f>V11</f>
        <v>#N/A</v>
      </c>
      <c r="V33" s="127" t="e">
        <f t="shared" si="12"/>
        <v>#N/A</v>
      </c>
    </row>
    <row r="34" spans="1:22">
      <c r="A34" s="74"/>
      <c r="B34" s="171">
        <v>15</v>
      </c>
      <c r="C34" s="172" t="s">
        <v>339</v>
      </c>
      <c r="D34" s="171" t="s">
        <v>335</v>
      </c>
      <c r="E34" s="171">
        <v>0.27</v>
      </c>
      <c r="F34" s="71">
        <f>G10</f>
        <v>411</v>
      </c>
      <c r="G34" s="71">
        <f t="shared" si="0"/>
        <v>110.97000000000001</v>
      </c>
      <c r="H34" s="72"/>
      <c r="I34" s="127">
        <f ca="1">J10</f>
        <v>244</v>
      </c>
      <c r="J34" s="127">
        <f t="shared" ca="1" si="0"/>
        <v>65.88000000000001</v>
      </c>
      <c r="K34" s="127">
        <f ca="1">L10</f>
        <v>198</v>
      </c>
      <c r="L34" s="127">
        <f t="shared" ca="1" si="7"/>
        <v>53.46</v>
      </c>
      <c r="M34" s="127">
        <f ca="1">N10</f>
        <v>233</v>
      </c>
      <c r="N34" s="127">
        <f t="shared" ca="1" si="8"/>
        <v>62.910000000000004</v>
      </c>
      <c r="O34" s="127">
        <f ca="1">P10</f>
        <v>135</v>
      </c>
      <c r="P34" s="127">
        <f t="shared" ca="1" si="9"/>
        <v>36.450000000000003</v>
      </c>
      <c r="Q34" s="127">
        <f ca="1">R10</f>
        <v>219</v>
      </c>
      <c r="R34" s="127">
        <f t="shared" ca="1" si="10"/>
        <v>59.13</v>
      </c>
      <c r="S34" s="127">
        <f ca="1">T10</f>
        <v>256</v>
      </c>
      <c r="T34" s="127">
        <f t="shared" ca="1" si="11"/>
        <v>69.12</v>
      </c>
      <c r="U34" s="127" t="e">
        <f>V10</f>
        <v>#N/A</v>
      </c>
      <c r="V34" s="127" t="e">
        <f t="shared" si="12"/>
        <v>#N/A</v>
      </c>
    </row>
    <row r="35" spans="1:22">
      <c r="A35" s="74"/>
      <c r="B35" s="171">
        <v>16</v>
      </c>
      <c r="C35" s="172" t="s">
        <v>340</v>
      </c>
      <c r="D35" s="171" t="s">
        <v>335</v>
      </c>
      <c r="E35" s="171">
        <v>4.4989999999999997</v>
      </c>
      <c r="F35" s="71"/>
      <c r="G35" s="71">
        <f t="shared" si="0"/>
        <v>0</v>
      </c>
      <c r="H35" s="72"/>
      <c r="I35" s="127"/>
      <c r="J35" s="127">
        <f t="shared" si="0"/>
        <v>0</v>
      </c>
      <c r="K35" s="127"/>
      <c r="L35" s="127">
        <f t="shared" si="7"/>
        <v>0</v>
      </c>
      <c r="M35" s="127"/>
      <c r="N35" s="127">
        <f t="shared" si="8"/>
        <v>0</v>
      </c>
      <c r="O35" s="127"/>
      <c r="P35" s="127">
        <f t="shared" si="9"/>
        <v>0</v>
      </c>
      <c r="Q35" s="127"/>
      <c r="R35" s="127">
        <f t="shared" si="10"/>
        <v>0</v>
      </c>
      <c r="S35" s="127"/>
      <c r="T35" s="127">
        <f t="shared" si="11"/>
        <v>0</v>
      </c>
      <c r="U35" s="127"/>
      <c r="V35" s="127">
        <f t="shared" si="12"/>
        <v>0</v>
      </c>
    </row>
    <row r="36" spans="1:22" ht="30">
      <c r="A36" s="74"/>
      <c r="B36" s="171">
        <v>17</v>
      </c>
      <c r="C36" s="172" t="s">
        <v>341</v>
      </c>
      <c r="D36" s="171" t="s">
        <v>342</v>
      </c>
      <c r="E36" s="171">
        <v>4.3999999999999997E-2</v>
      </c>
      <c r="F36" s="71"/>
      <c r="G36" s="71">
        <f t="shared" si="0"/>
        <v>0</v>
      </c>
      <c r="H36" s="72"/>
      <c r="I36" s="127"/>
      <c r="J36" s="127">
        <f t="shared" si="0"/>
        <v>0</v>
      </c>
      <c r="K36" s="127"/>
      <c r="L36" s="127">
        <f t="shared" si="7"/>
        <v>0</v>
      </c>
      <c r="M36" s="127"/>
      <c r="N36" s="127">
        <f t="shared" si="8"/>
        <v>0</v>
      </c>
      <c r="O36" s="127"/>
      <c r="P36" s="127">
        <f t="shared" si="9"/>
        <v>0</v>
      </c>
      <c r="Q36" s="127"/>
      <c r="R36" s="127">
        <f t="shared" si="10"/>
        <v>0</v>
      </c>
      <c r="S36" s="127"/>
      <c r="T36" s="127">
        <f t="shared" si="11"/>
        <v>0</v>
      </c>
      <c r="U36" s="127"/>
      <c r="V36" s="127">
        <f t="shared" si="12"/>
        <v>0</v>
      </c>
    </row>
    <row r="37" spans="1:22" ht="30">
      <c r="A37" s="202" t="s">
        <v>343</v>
      </c>
      <c r="B37" s="171">
        <v>18</v>
      </c>
      <c r="C37" s="172" t="s">
        <v>344</v>
      </c>
      <c r="D37" s="171" t="s">
        <v>345</v>
      </c>
      <c r="E37" s="171">
        <v>0.34200000000000003</v>
      </c>
      <c r="F37" s="71"/>
      <c r="G37" s="71">
        <f t="shared" si="0"/>
        <v>0</v>
      </c>
      <c r="H37" s="72"/>
      <c r="I37" s="127"/>
      <c r="J37" s="127">
        <f t="shared" si="0"/>
        <v>0</v>
      </c>
      <c r="K37" s="127"/>
      <c r="L37" s="127">
        <f t="shared" si="7"/>
        <v>0</v>
      </c>
      <c r="M37" s="127"/>
      <c r="N37" s="127">
        <f t="shared" si="8"/>
        <v>0</v>
      </c>
      <c r="O37" s="127"/>
      <c r="P37" s="127">
        <f t="shared" si="9"/>
        <v>0</v>
      </c>
      <c r="Q37" s="127"/>
      <c r="R37" s="127">
        <f t="shared" si="10"/>
        <v>0</v>
      </c>
      <c r="S37" s="127"/>
      <c r="T37" s="127">
        <f t="shared" si="11"/>
        <v>0</v>
      </c>
      <c r="U37" s="127"/>
      <c r="V37" s="127">
        <f t="shared" si="12"/>
        <v>0</v>
      </c>
    </row>
    <row r="38" spans="1:22" ht="45">
      <c r="A38" s="74"/>
      <c r="B38" s="171">
        <v>19</v>
      </c>
      <c r="C38" s="172" t="s">
        <v>346</v>
      </c>
      <c r="D38" s="171" t="s">
        <v>345</v>
      </c>
      <c r="E38" s="171">
        <v>7.0999999999999994E-2</v>
      </c>
      <c r="F38" s="71"/>
      <c r="G38" s="71">
        <f t="shared" si="0"/>
        <v>0</v>
      </c>
      <c r="H38" s="72"/>
      <c r="I38" s="127"/>
      <c r="J38" s="127">
        <f t="shared" si="0"/>
        <v>0</v>
      </c>
      <c r="K38" s="127"/>
      <c r="L38" s="127">
        <f t="shared" si="7"/>
        <v>0</v>
      </c>
      <c r="M38" s="127"/>
      <c r="N38" s="127">
        <f t="shared" si="8"/>
        <v>0</v>
      </c>
      <c r="O38" s="127"/>
      <c r="P38" s="127">
        <f t="shared" si="9"/>
        <v>0</v>
      </c>
      <c r="Q38" s="127"/>
      <c r="R38" s="127">
        <f t="shared" si="10"/>
        <v>0</v>
      </c>
      <c r="S38" s="127"/>
      <c r="T38" s="127">
        <f t="shared" si="11"/>
        <v>0</v>
      </c>
      <c r="U38" s="127"/>
      <c r="V38" s="127">
        <f t="shared" si="12"/>
        <v>0</v>
      </c>
    </row>
    <row r="39" spans="1:22">
      <c r="A39" s="74"/>
      <c r="B39" s="171">
        <v>20</v>
      </c>
      <c r="C39" s="172" t="s">
        <v>347</v>
      </c>
      <c r="D39" s="171" t="s">
        <v>345</v>
      </c>
      <c r="E39" s="171">
        <v>0.10100000000000001</v>
      </c>
      <c r="F39" s="71"/>
      <c r="G39" s="71">
        <f t="shared" si="0"/>
        <v>0</v>
      </c>
      <c r="H39" s="72"/>
      <c r="I39" s="127"/>
      <c r="J39" s="127">
        <f t="shared" si="0"/>
        <v>0</v>
      </c>
      <c r="K39" s="127"/>
      <c r="L39" s="127">
        <f t="shared" si="7"/>
        <v>0</v>
      </c>
      <c r="M39" s="127"/>
      <c r="N39" s="127">
        <f t="shared" si="8"/>
        <v>0</v>
      </c>
      <c r="O39" s="127"/>
      <c r="P39" s="127">
        <f t="shared" si="9"/>
        <v>0</v>
      </c>
      <c r="Q39" s="127"/>
      <c r="R39" s="127">
        <f t="shared" si="10"/>
        <v>0</v>
      </c>
      <c r="S39" s="127"/>
      <c r="T39" s="127">
        <f t="shared" si="11"/>
        <v>0</v>
      </c>
      <c r="U39" s="127"/>
      <c r="V39" s="127">
        <f t="shared" si="12"/>
        <v>0</v>
      </c>
    </row>
    <row r="40" spans="1:22" ht="30">
      <c r="A40" s="74"/>
      <c r="B40" s="171">
        <v>21</v>
      </c>
      <c r="C40" s="172" t="s">
        <v>348</v>
      </c>
      <c r="D40" s="171" t="s">
        <v>345</v>
      </c>
      <c r="E40" s="171">
        <v>0.66600000000000004</v>
      </c>
      <c r="F40" s="71"/>
      <c r="G40" s="71">
        <f t="shared" si="0"/>
        <v>0</v>
      </c>
      <c r="H40" s="72"/>
      <c r="I40" s="127"/>
      <c r="J40" s="127">
        <f t="shared" si="0"/>
        <v>0</v>
      </c>
      <c r="K40" s="127"/>
      <c r="L40" s="127">
        <f t="shared" si="7"/>
        <v>0</v>
      </c>
      <c r="M40" s="127"/>
      <c r="N40" s="127">
        <f t="shared" si="8"/>
        <v>0</v>
      </c>
      <c r="O40" s="127"/>
      <c r="P40" s="127">
        <f t="shared" si="9"/>
        <v>0</v>
      </c>
      <c r="Q40" s="127"/>
      <c r="R40" s="127">
        <f t="shared" si="10"/>
        <v>0</v>
      </c>
      <c r="S40" s="127"/>
      <c r="T40" s="127">
        <f t="shared" si="11"/>
        <v>0</v>
      </c>
      <c r="U40" s="127"/>
      <c r="V40" s="127">
        <f t="shared" si="12"/>
        <v>0</v>
      </c>
    </row>
    <row r="41" spans="1:22">
      <c r="A41" s="74"/>
      <c r="B41" s="171">
        <v>22</v>
      </c>
      <c r="C41" s="172" t="s">
        <v>349</v>
      </c>
      <c r="D41" s="171" t="s">
        <v>345</v>
      </c>
      <c r="E41" s="171">
        <v>9.4E-2</v>
      </c>
      <c r="F41" s="71"/>
      <c r="G41" s="71">
        <f t="shared" si="0"/>
        <v>0</v>
      </c>
      <c r="H41" s="72"/>
      <c r="I41" s="127"/>
      <c r="J41" s="127">
        <f t="shared" si="0"/>
        <v>0</v>
      </c>
      <c r="K41" s="127"/>
      <c r="L41" s="127">
        <f t="shared" si="7"/>
        <v>0</v>
      </c>
      <c r="M41" s="127"/>
      <c r="N41" s="127">
        <f t="shared" si="8"/>
        <v>0</v>
      </c>
      <c r="O41" s="127"/>
      <c r="P41" s="127">
        <f t="shared" si="9"/>
        <v>0</v>
      </c>
      <c r="Q41" s="127"/>
      <c r="R41" s="127">
        <f t="shared" si="10"/>
        <v>0</v>
      </c>
      <c r="S41" s="127"/>
      <c r="T41" s="127">
        <f t="shared" si="11"/>
        <v>0</v>
      </c>
      <c r="U41" s="127"/>
      <c r="V41" s="127">
        <f t="shared" si="12"/>
        <v>0</v>
      </c>
    </row>
    <row r="42" spans="1:22">
      <c r="A42" s="202" t="s">
        <v>350</v>
      </c>
      <c r="B42" s="261">
        <v>23</v>
      </c>
      <c r="C42" s="263" t="s">
        <v>352</v>
      </c>
      <c r="D42" s="261" t="s">
        <v>345</v>
      </c>
      <c r="E42" s="261">
        <v>0.38200000000000001</v>
      </c>
      <c r="F42" s="71"/>
      <c r="G42" s="71">
        <f t="shared" si="0"/>
        <v>0</v>
      </c>
      <c r="H42" s="72"/>
      <c r="I42" s="127"/>
      <c r="J42" s="127">
        <f t="shared" si="0"/>
        <v>0</v>
      </c>
      <c r="K42" s="127"/>
      <c r="L42" s="127">
        <f t="shared" si="7"/>
        <v>0</v>
      </c>
      <c r="M42" s="127"/>
      <c r="N42" s="127">
        <f t="shared" si="8"/>
        <v>0</v>
      </c>
      <c r="O42" s="127"/>
      <c r="P42" s="127">
        <f t="shared" si="9"/>
        <v>0</v>
      </c>
      <c r="Q42" s="127"/>
      <c r="R42" s="127">
        <f t="shared" si="10"/>
        <v>0</v>
      </c>
      <c r="S42" s="127"/>
      <c r="T42" s="127">
        <f t="shared" si="11"/>
        <v>0</v>
      </c>
      <c r="U42" s="127"/>
      <c r="V42" s="127">
        <f t="shared" si="12"/>
        <v>0</v>
      </c>
    </row>
    <row r="43" spans="1:22" ht="30">
      <c r="A43" s="202" t="s">
        <v>351</v>
      </c>
      <c r="B43" s="261"/>
      <c r="C43" s="263"/>
      <c r="D43" s="261"/>
      <c r="E43" s="261"/>
      <c r="F43" s="71"/>
      <c r="G43" s="71">
        <f t="shared" si="0"/>
        <v>0</v>
      </c>
      <c r="H43" s="72"/>
      <c r="I43" s="127"/>
      <c r="J43" s="127">
        <f t="shared" si="0"/>
        <v>0</v>
      </c>
      <c r="K43" s="127"/>
      <c r="L43" s="127">
        <f t="shared" si="7"/>
        <v>0</v>
      </c>
      <c r="M43" s="127"/>
      <c r="N43" s="127">
        <f t="shared" si="8"/>
        <v>0</v>
      </c>
      <c r="O43" s="127"/>
      <c r="P43" s="127">
        <f t="shared" si="9"/>
        <v>0</v>
      </c>
      <c r="Q43" s="127"/>
      <c r="R43" s="127">
        <f t="shared" si="10"/>
        <v>0</v>
      </c>
      <c r="S43" s="127"/>
      <c r="T43" s="127">
        <f t="shared" si="11"/>
        <v>0</v>
      </c>
      <c r="U43" s="127"/>
      <c r="V43" s="127">
        <f t="shared" si="12"/>
        <v>0</v>
      </c>
    </row>
    <row r="44" spans="1:22">
      <c r="A44" s="74"/>
      <c r="B44" s="171">
        <v>24</v>
      </c>
      <c r="C44" s="172" t="s">
        <v>353</v>
      </c>
      <c r="D44" s="171" t="s">
        <v>345</v>
      </c>
      <c r="E44" s="171">
        <v>0.06</v>
      </c>
      <c r="F44" s="71"/>
      <c r="G44" s="71">
        <f t="shared" si="0"/>
        <v>0</v>
      </c>
      <c r="H44" s="72"/>
      <c r="I44" s="127"/>
      <c r="J44" s="127">
        <f t="shared" si="0"/>
        <v>0</v>
      </c>
      <c r="K44" s="127"/>
      <c r="L44" s="127">
        <f t="shared" si="7"/>
        <v>0</v>
      </c>
      <c r="M44" s="127"/>
      <c r="N44" s="127">
        <f t="shared" si="8"/>
        <v>0</v>
      </c>
      <c r="O44" s="127"/>
      <c r="P44" s="127">
        <f t="shared" si="9"/>
        <v>0</v>
      </c>
      <c r="Q44" s="127"/>
      <c r="R44" s="127">
        <f t="shared" si="10"/>
        <v>0</v>
      </c>
      <c r="S44" s="127"/>
      <c r="T44" s="127">
        <f t="shared" si="11"/>
        <v>0</v>
      </c>
      <c r="U44" s="127"/>
      <c r="V44" s="127">
        <f t="shared" si="12"/>
        <v>0</v>
      </c>
    </row>
    <row r="45" spans="1:22">
      <c r="A45" s="74"/>
      <c r="B45" s="171">
        <v>25</v>
      </c>
      <c r="C45" s="172" t="s">
        <v>354</v>
      </c>
      <c r="D45" s="171" t="s">
        <v>326</v>
      </c>
      <c r="E45" s="171">
        <v>1.7999999999999999E-2</v>
      </c>
      <c r="F45" s="71"/>
      <c r="G45" s="71">
        <f t="shared" si="0"/>
        <v>0</v>
      </c>
      <c r="H45" s="72"/>
      <c r="I45" s="127"/>
      <c r="J45" s="127">
        <f t="shared" si="0"/>
        <v>0</v>
      </c>
      <c r="K45" s="127"/>
      <c r="L45" s="127">
        <f t="shared" si="7"/>
        <v>0</v>
      </c>
      <c r="M45" s="127"/>
      <c r="N45" s="127">
        <f t="shared" si="8"/>
        <v>0</v>
      </c>
      <c r="O45" s="127"/>
      <c r="P45" s="127">
        <f t="shared" si="9"/>
        <v>0</v>
      </c>
      <c r="Q45" s="127"/>
      <c r="R45" s="127">
        <f t="shared" si="10"/>
        <v>0</v>
      </c>
      <c r="S45" s="127"/>
      <c r="T45" s="127">
        <f t="shared" si="11"/>
        <v>0</v>
      </c>
      <c r="U45" s="127"/>
      <c r="V45" s="127">
        <f t="shared" si="12"/>
        <v>0</v>
      </c>
    </row>
    <row r="46" spans="1:22">
      <c r="A46" s="74"/>
      <c r="B46" s="171">
        <v>26</v>
      </c>
      <c r="C46" s="172" t="s">
        <v>355</v>
      </c>
      <c r="D46" s="171" t="s">
        <v>345</v>
      </c>
      <c r="E46" s="171">
        <v>7.1999999999999995E-2</v>
      </c>
      <c r="F46" s="71"/>
      <c r="G46" s="71">
        <f t="shared" si="0"/>
        <v>0</v>
      </c>
      <c r="H46" s="72"/>
      <c r="I46" s="127"/>
      <c r="J46" s="127">
        <f t="shared" si="0"/>
        <v>0</v>
      </c>
      <c r="K46" s="127"/>
      <c r="L46" s="127">
        <f t="shared" si="7"/>
        <v>0</v>
      </c>
      <c r="M46" s="127"/>
      <c r="N46" s="127">
        <f t="shared" si="8"/>
        <v>0</v>
      </c>
      <c r="O46" s="127"/>
      <c r="P46" s="127">
        <f t="shared" si="9"/>
        <v>0</v>
      </c>
      <c r="Q46" s="127"/>
      <c r="R46" s="127">
        <f t="shared" si="10"/>
        <v>0</v>
      </c>
      <c r="S46" s="127"/>
      <c r="T46" s="127">
        <f t="shared" si="11"/>
        <v>0</v>
      </c>
      <c r="U46" s="127"/>
      <c r="V46" s="127">
        <f t="shared" si="12"/>
        <v>0</v>
      </c>
    </row>
    <row r="47" spans="1:22" ht="30">
      <c r="A47" s="74"/>
      <c r="B47" s="171">
        <v>27</v>
      </c>
      <c r="C47" s="172" t="s">
        <v>356</v>
      </c>
      <c r="D47" s="171" t="s">
        <v>345</v>
      </c>
      <c r="E47" s="171">
        <v>0.11799999999999999</v>
      </c>
      <c r="F47" s="71"/>
      <c r="G47" s="71">
        <f t="shared" si="0"/>
        <v>0</v>
      </c>
      <c r="H47" s="72"/>
      <c r="I47" s="127"/>
      <c r="J47" s="127">
        <f t="shared" si="0"/>
        <v>0</v>
      </c>
      <c r="K47" s="127"/>
      <c r="L47" s="127">
        <f t="shared" si="7"/>
        <v>0</v>
      </c>
      <c r="M47" s="127"/>
      <c r="N47" s="127">
        <f t="shared" si="8"/>
        <v>0</v>
      </c>
      <c r="O47" s="127"/>
      <c r="P47" s="127">
        <f t="shared" si="9"/>
        <v>0</v>
      </c>
      <c r="Q47" s="127"/>
      <c r="R47" s="127">
        <f t="shared" si="10"/>
        <v>0</v>
      </c>
      <c r="S47" s="127"/>
      <c r="T47" s="127">
        <f t="shared" si="11"/>
        <v>0</v>
      </c>
      <c r="U47" s="127"/>
      <c r="V47" s="127">
        <f t="shared" si="12"/>
        <v>0</v>
      </c>
    </row>
    <row r="48" spans="1:22">
      <c r="A48" s="74"/>
      <c r="B48" s="171">
        <v>28</v>
      </c>
      <c r="C48" s="172" t="s">
        <v>357</v>
      </c>
      <c r="D48" s="171" t="s">
        <v>326</v>
      </c>
      <c r="E48" s="171">
        <v>6.8000000000000005E-2</v>
      </c>
      <c r="F48" s="71"/>
      <c r="G48" s="71">
        <f t="shared" si="0"/>
        <v>0</v>
      </c>
      <c r="H48" s="72"/>
      <c r="I48" s="127"/>
      <c r="J48" s="127">
        <f t="shared" si="0"/>
        <v>0</v>
      </c>
      <c r="K48" s="127"/>
      <c r="L48" s="127">
        <f t="shared" si="7"/>
        <v>0</v>
      </c>
      <c r="M48" s="127"/>
      <c r="N48" s="127">
        <f t="shared" si="8"/>
        <v>0</v>
      </c>
      <c r="O48" s="127"/>
      <c r="P48" s="127">
        <f t="shared" si="9"/>
        <v>0</v>
      </c>
      <c r="Q48" s="127"/>
      <c r="R48" s="127">
        <f t="shared" si="10"/>
        <v>0</v>
      </c>
      <c r="S48" s="127"/>
      <c r="T48" s="127">
        <f t="shared" si="11"/>
        <v>0</v>
      </c>
      <c r="U48" s="127"/>
      <c r="V48" s="127">
        <f t="shared" si="12"/>
        <v>0</v>
      </c>
    </row>
    <row r="49" spans="1:22" ht="30">
      <c r="A49" s="74"/>
      <c r="B49" s="171">
        <v>29</v>
      </c>
      <c r="C49" s="172" t="s">
        <v>358</v>
      </c>
      <c r="D49" s="171" t="s">
        <v>345</v>
      </c>
      <c r="E49" s="171">
        <v>0.14499999999999999</v>
      </c>
      <c r="F49" s="71"/>
      <c r="G49" s="71">
        <f t="shared" si="0"/>
        <v>0</v>
      </c>
      <c r="H49" s="72"/>
      <c r="I49" s="127"/>
      <c r="J49" s="127">
        <f t="shared" si="0"/>
        <v>0</v>
      </c>
      <c r="K49" s="127"/>
      <c r="L49" s="127">
        <f t="shared" si="7"/>
        <v>0</v>
      </c>
      <c r="M49" s="127"/>
      <c r="N49" s="127">
        <f t="shared" si="8"/>
        <v>0</v>
      </c>
      <c r="O49" s="127"/>
      <c r="P49" s="127">
        <f t="shared" si="9"/>
        <v>0</v>
      </c>
      <c r="Q49" s="127"/>
      <c r="R49" s="127">
        <f t="shared" si="10"/>
        <v>0</v>
      </c>
      <c r="S49" s="127"/>
      <c r="T49" s="127">
        <f t="shared" si="11"/>
        <v>0</v>
      </c>
      <c r="U49" s="127"/>
      <c r="V49" s="127">
        <f t="shared" si="12"/>
        <v>0</v>
      </c>
    </row>
    <row r="50" spans="1:22" ht="30">
      <c r="A50" s="202" t="s">
        <v>359</v>
      </c>
      <c r="B50" s="171">
        <v>30</v>
      </c>
      <c r="C50" s="172" t="s">
        <v>360</v>
      </c>
      <c r="D50" s="171" t="s">
        <v>345</v>
      </c>
      <c r="E50" s="171">
        <v>0.73</v>
      </c>
      <c r="F50" s="71"/>
      <c r="G50" s="71">
        <f t="shared" si="0"/>
        <v>0</v>
      </c>
      <c r="H50" s="72"/>
      <c r="I50" s="127"/>
      <c r="J50" s="127">
        <f t="shared" si="0"/>
        <v>0</v>
      </c>
      <c r="K50" s="127"/>
      <c r="L50" s="127">
        <f t="shared" si="7"/>
        <v>0</v>
      </c>
      <c r="M50" s="127"/>
      <c r="N50" s="127">
        <f t="shared" si="8"/>
        <v>0</v>
      </c>
      <c r="O50" s="127"/>
      <c r="P50" s="127">
        <f t="shared" si="9"/>
        <v>0</v>
      </c>
      <c r="Q50" s="127"/>
      <c r="R50" s="127">
        <f t="shared" si="10"/>
        <v>0</v>
      </c>
      <c r="S50" s="127"/>
      <c r="T50" s="127">
        <f t="shared" si="11"/>
        <v>0</v>
      </c>
      <c r="U50" s="127"/>
      <c r="V50" s="127">
        <f t="shared" si="12"/>
        <v>0</v>
      </c>
    </row>
    <row r="51" spans="1:22" ht="30">
      <c r="A51" s="202" t="s">
        <v>361</v>
      </c>
      <c r="B51" s="171">
        <v>31</v>
      </c>
      <c r="C51" s="172" t="s">
        <v>362</v>
      </c>
      <c r="D51" s="171" t="s">
        <v>326</v>
      </c>
      <c r="E51" s="171">
        <v>9.9000000000000005E-2</v>
      </c>
      <c r="F51" s="71"/>
      <c r="G51" s="71">
        <f t="shared" si="0"/>
        <v>0</v>
      </c>
      <c r="H51" s="72"/>
      <c r="I51" s="127"/>
      <c r="J51" s="127">
        <f t="shared" si="0"/>
        <v>0</v>
      </c>
      <c r="K51" s="127"/>
      <c r="L51" s="127">
        <f t="shared" si="7"/>
        <v>0</v>
      </c>
      <c r="M51" s="127"/>
      <c r="N51" s="127">
        <f t="shared" si="8"/>
        <v>0</v>
      </c>
      <c r="O51" s="127"/>
      <c r="P51" s="127">
        <f t="shared" si="9"/>
        <v>0</v>
      </c>
      <c r="Q51" s="127"/>
      <c r="R51" s="127">
        <f t="shared" si="10"/>
        <v>0</v>
      </c>
      <c r="S51" s="127"/>
      <c r="T51" s="127">
        <f t="shared" si="11"/>
        <v>0</v>
      </c>
      <c r="U51" s="127"/>
      <c r="V51" s="127">
        <f t="shared" si="12"/>
        <v>0</v>
      </c>
    </row>
    <row r="52" spans="1:22" ht="30">
      <c r="A52" s="74"/>
      <c r="B52" s="171">
        <v>32</v>
      </c>
      <c r="C52" s="172" t="s">
        <v>363</v>
      </c>
      <c r="D52" s="171" t="s">
        <v>326</v>
      </c>
      <c r="E52" s="171">
        <v>0.20599999999999999</v>
      </c>
      <c r="F52" s="71"/>
      <c r="G52" s="71">
        <f t="shared" si="0"/>
        <v>0</v>
      </c>
      <c r="H52" s="72"/>
      <c r="I52" s="127"/>
      <c r="J52" s="127">
        <f t="shared" si="0"/>
        <v>0</v>
      </c>
      <c r="K52" s="127"/>
      <c r="L52" s="127">
        <f t="shared" si="7"/>
        <v>0</v>
      </c>
      <c r="M52" s="127"/>
      <c r="N52" s="127">
        <f t="shared" si="8"/>
        <v>0</v>
      </c>
      <c r="O52" s="127"/>
      <c r="P52" s="127">
        <f t="shared" si="9"/>
        <v>0</v>
      </c>
      <c r="Q52" s="127"/>
      <c r="R52" s="127">
        <f t="shared" si="10"/>
        <v>0</v>
      </c>
      <c r="S52" s="127"/>
      <c r="T52" s="127">
        <f t="shared" si="11"/>
        <v>0</v>
      </c>
      <c r="U52" s="127"/>
      <c r="V52" s="127">
        <f t="shared" si="12"/>
        <v>0</v>
      </c>
    </row>
    <row r="53" spans="1:22" ht="30">
      <c r="A53" s="74"/>
      <c r="B53" s="171">
        <v>33</v>
      </c>
      <c r="C53" s="172" t="s">
        <v>364</v>
      </c>
      <c r="D53" s="171" t="s">
        <v>326</v>
      </c>
      <c r="E53" s="171">
        <v>0.35899999999999999</v>
      </c>
      <c r="F53" s="71"/>
      <c r="G53" s="71">
        <f t="shared" si="0"/>
        <v>0</v>
      </c>
      <c r="H53" s="72"/>
      <c r="I53" s="127"/>
      <c r="J53" s="127">
        <f t="shared" si="0"/>
        <v>0</v>
      </c>
      <c r="K53" s="127"/>
      <c r="L53" s="127">
        <f t="shared" si="7"/>
        <v>0</v>
      </c>
      <c r="M53" s="127"/>
      <c r="N53" s="127">
        <f t="shared" si="8"/>
        <v>0</v>
      </c>
      <c r="O53" s="127"/>
      <c r="P53" s="127">
        <f t="shared" si="9"/>
        <v>0</v>
      </c>
      <c r="Q53" s="127"/>
      <c r="R53" s="127">
        <f t="shared" si="10"/>
        <v>0</v>
      </c>
      <c r="S53" s="127"/>
      <c r="T53" s="127">
        <f t="shared" si="11"/>
        <v>0</v>
      </c>
      <c r="U53" s="127"/>
      <c r="V53" s="127">
        <f t="shared" si="12"/>
        <v>0</v>
      </c>
    </row>
    <row r="54" spans="1:22">
      <c r="A54" s="74"/>
      <c r="B54" s="171">
        <v>34</v>
      </c>
      <c r="C54" s="172" t="s">
        <v>365</v>
      </c>
      <c r="D54" s="171" t="s">
        <v>326</v>
      </c>
      <c r="E54" s="171">
        <v>0.23899999999999999</v>
      </c>
      <c r="F54" s="71"/>
      <c r="G54" s="71">
        <f t="shared" si="0"/>
        <v>0</v>
      </c>
      <c r="H54" s="72"/>
      <c r="I54" s="127"/>
      <c r="J54" s="127">
        <f t="shared" si="0"/>
        <v>0</v>
      </c>
      <c r="K54" s="127"/>
      <c r="L54" s="127">
        <f t="shared" si="7"/>
        <v>0</v>
      </c>
      <c r="M54" s="127"/>
      <c r="N54" s="127">
        <f t="shared" si="8"/>
        <v>0</v>
      </c>
      <c r="O54" s="127"/>
      <c r="P54" s="127">
        <f t="shared" si="9"/>
        <v>0</v>
      </c>
      <c r="Q54" s="127"/>
      <c r="R54" s="127">
        <f t="shared" si="10"/>
        <v>0</v>
      </c>
      <c r="S54" s="127"/>
      <c r="T54" s="127">
        <f t="shared" si="11"/>
        <v>0</v>
      </c>
      <c r="U54" s="127"/>
      <c r="V54" s="127">
        <f t="shared" si="12"/>
        <v>0</v>
      </c>
    </row>
    <row r="55" spans="1:22" ht="30">
      <c r="A55" s="74"/>
      <c r="B55" s="171">
        <v>35</v>
      </c>
      <c r="C55" s="172" t="s">
        <v>366</v>
      </c>
      <c r="D55" s="171" t="s">
        <v>345</v>
      </c>
      <c r="E55" s="171">
        <v>1.798</v>
      </c>
      <c r="F55" s="71"/>
      <c r="G55" s="71">
        <f t="shared" si="0"/>
        <v>0</v>
      </c>
      <c r="H55" s="72"/>
      <c r="I55" s="127"/>
      <c r="J55" s="127">
        <f t="shared" si="0"/>
        <v>0</v>
      </c>
      <c r="K55" s="127"/>
      <c r="L55" s="127">
        <f t="shared" si="7"/>
        <v>0</v>
      </c>
      <c r="M55" s="127"/>
      <c r="N55" s="127">
        <f t="shared" si="8"/>
        <v>0</v>
      </c>
      <c r="O55" s="127"/>
      <c r="P55" s="127">
        <f t="shared" si="9"/>
        <v>0</v>
      </c>
      <c r="Q55" s="127"/>
      <c r="R55" s="127">
        <f t="shared" si="10"/>
        <v>0</v>
      </c>
      <c r="S55" s="127"/>
      <c r="T55" s="127">
        <f t="shared" si="11"/>
        <v>0</v>
      </c>
      <c r="U55" s="127"/>
      <c r="V55" s="127">
        <f t="shared" si="12"/>
        <v>0</v>
      </c>
    </row>
    <row r="56" spans="1:22">
      <c r="A56" s="74"/>
      <c r="B56" s="171">
        <v>36</v>
      </c>
      <c r="C56" s="172" t="s">
        <v>367</v>
      </c>
      <c r="D56" s="171" t="s">
        <v>345</v>
      </c>
      <c r="E56" s="171">
        <v>0.92400000000000004</v>
      </c>
      <c r="F56" s="71"/>
      <c r="G56" s="71">
        <f t="shared" si="0"/>
        <v>0</v>
      </c>
      <c r="H56" s="72"/>
      <c r="I56" s="127"/>
      <c r="J56" s="127">
        <f t="shared" si="0"/>
        <v>0</v>
      </c>
      <c r="K56" s="127"/>
      <c r="L56" s="127">
        <f t="shared" si="7"/>
        <v>0</v>
      </c>
      <c r="M56" s="127"/>
      <c r="N56" s="127">
        <f t="shared" si="8"/>
        <v>0</v>
      </c>
      <c r="O56" s="127"/>
      <c r="P56" s="127">
        <f t="shared" si="9"/>
        <v>0</v>
      </c>
      <c r="Q56" s="127"/>
      <c r="R56" s="127">
        <f t="shared" si="10"/>
        <v>0</v>
      </c>
      <c r="S56" s="127"/>
      <c r="T56" s="127">
        <f t="shared" si="11"/>
        <v>0</v>
      </c>
      <c r="U56" s="127"/>
      <c r="V56" s="127">
        <f t="shared" si="12"/>
        <v>0</v>
      </c>
    </row>
    <row r="57" spans="1:22">
      <c r="A57" s="74"/>
      <c r="B57" s="171">
        <v>37</v>
      </c>
      <c r="C57" s="172" t="s">
        <v>368</v>
      </c>
      <c r="D57" s="171" t="s">
        <v>345</v>
      </c>
      <c r="E57" s="171">
        <v>3.3000000000000002E-2</v>
      </c>
      <c r="F57" s="71"/>
      <c r="G57" s="71">
        <f t="shared" si="0"/>
        <v>0</v>
      </c>
      <c r="H57" s="72"/>
      <c r="I57" s="127"/>
      <c r="J57" s="127">
        <f t="shared" si="0"/>
        <v>0</v>
      </c>
      <c r="K57" s="127"/>
      <c r="L57" s="127">
        <f t="shared" si="7"/>
        <v>0</v>
      </c>
      <c r="M57" s="127"/>
      <c r="N57" s="127">
        <f t="shared" si="8"/>
        <v>0</v>
      </c>
      <c r="O57" s="127"/>
      <c r="P57" s="127">
        <f t="shared" si="9"/>
        <v>0</v>
      </c>
      <c r="Q57" s="127"/>
      <c r="R57" s="127">
        <f t="shared" si="10"/>
        <v>0</v>
      </c>
      <c r="S57" s="127"/>
      <c r="T57" s="127">
        <f t="shared" si="11"/>
        <v>0</v>
      </c>
      <c r="U57" s="127"/>
      <c r="V57" s="127">
        <f t="shared" si="12"/>
        <v>0</v>
      </c>
    </row>
    <row r="58" spans="1:22">
      <c r="A58" s="74"/>
      <c r="B58" s="171">
        <v>38</v>
      </c>
      <c r="C58" s="172" t="s">
        <v>369</v>
      </c>
      <c r="D58" s="171" t="s">
        <v>345</v>
      </c>
      <c r="E58" s="171">
        <v>0.94199999999999995</v>
      </c>
      <c r="F58" s="71"/>
      <c r="G58" s="71">
        <f t="shared" si="0"/>
        <v>0</v>
      </c>
      <c r="H58" s="72"/>
      <c r="I58" s="127"/>
      <c r="J58" s="127">
        <f t="shared" si="0"/>
        <v>0</v>
      </c>
      <c r="K58" s="127"/>
      <c r="L58" s="127">
        <f t="shared" si="7"/>
        <v>0</v>
      </c>
      <c r="M58" s="127"/>
      <c r="N58" s="127">
        <f t="shared" si="8"/>
        <v>0</v>
      </c>
      <c r="O58" s="127"/>
      <c r="P58" s="127">
        <f t="shared" si="9"/>
        <v>0</v>
      </c>
      <c r="Q58" s="127"/>
      <c r="R58" s="127">
        <f t="shared" si="10"/>
        <v>0</v>
      </c>
      <c r="S58" s="127"/>
      <c r="T58" s="127">
        <f t="shared" si="11"/>
        <v>0</v>
      </c>
      <c r="U58" s="127"/>
      <c r="V58" s="127">
        <f t="shared" si="12"/>
        <v>0</v>
      </c>
    </row>
    <row r="59" spans="1:22" ht="30">
      <c r="A59" s="202" t="s">
        <v>370</v>
      </c>
      <c r="B59" s="171">
        <v>39</v>
      </c>
      <c r="C59" s="172" t="s">
        <v>371</v>
      </c>
      <c r="D59" s="171" t="s">
        <v>326</v>
      </c>
      <c r="E59" s="171">
        <v>3.1E-2</v>
      </c>
      <c r="F59" s="71"/>
      <c r="G59" s="71">
        <f t="shared" si="0"/>
        <v>0</v>
      </c>
      <c r="H59" s="72"/>
      <c r="I59" s="127"/>
      <c r="J59" s="127">
        <f t="shared" si="0"/>
        <v>0</v>
      </c>
      <c r="K59" s="127"/>
      <c r="L59" s="127">
        <f t="shared" si="7"/>
        <v>0</v>
      </c>
      <c r="M59" s="127"/>
      <c r="N59" s="127">
        <f t="shared" si="8"/>
        <v>0</v>
      </c>
      <c r="O59" s="127"/>
      <c r="P59" s="127">
        <f t="shared" si="9"/>
        <v>0</v>
      </c>
      <c r="Q59" s="127"/>
      <c r="R59" s="127">
        <f t="shared" si="10"/>
        <v>0</v>
      </c>
      <c r="S59" s="127"/>
      <c r="T59" s="127">
        <f t="shared" si="11"/>
        <v>0</v>
      </c>
      <c r="U59" s="127"/>
      <c r="V59" s="127">
        <f t="shared" si="12"/>
        <v>0</v>
      </c>
    </row>
    <row r="60" spans="1:22">
      <c r="A60" s="74"/>
      <c r="B60" s="171">
        <v>40</v>
      </c>
      <c r="C60" s="172" t="s">
        <v>372</v>
      </c>
      <c r="D60" s="171" t="s">
        <v>326</v>
      </c>
      <c r="E60" s="171">
        <v>0.01</v>
      </c>
      <c r="F60" s="71"/>
      <c r="G60" s="71">
        <f t="shared" si="0"/>
        <v>0</v>
      </c>
      <c r="H60" s="72"/>
      <c r="I60" s="127"/>
      <c r="J60" s="127">
        <f t="shared" si="0"/>
        <v>0</v>
      </c>
      <c r="K60" s="127"/>
      <c r="L60" s="127">
        <f t="shared" si="7"/>
        <v>0</v>
      </c>
      <c r="M60" s="127"/>
      <c r="N60" s="127">
        <f t="shared" si="8"/>
        <v>0</v>
      </c>
      <c r="O60" s="127"/>
      <c r="P60" s="127">
        <f t="shared" si="9"/>
        <v>0</v>
      </c>
      <c r="Q60" s="127"/>
      <c r="R60" s="127">
        <f t="shared" si="10"/>
        <v>0</v>
      </c>
      <c r="S60" s="127"/>
      <c r="T60" s="127">
        <f t="shared" si="11"/>
        <v>0</v>
      </c>
      <c r="U60" s="127"/>
      <c r="V60" s="127">
        <f t="shared" si="12"/>
        <v>0</v>
      </c>
    </row>
    <row r="61" spans="1:22" ht="30">
      <c r="A61" s="74"/>
      <c r="B61" s="171">
        <v>41</v>
      </c>
      <c r="C61" s="172" t="s">
        <v>373</v>
      </c>
      <c r="D61" s="171" t="s">
        <v>326</v>
      </c>
      <c r="E61" s="171">
        <v>1.373</v>
      </c>
      <c r="F61" s="71"/>
      <c r="G61" s="71">
        <f t="shared" si="0"/>
        <v>0</v>
      </c>
      <c r="H61" s="72"/>
      <c r="I61" s="127"/>
      <c r="J61" s="127">
        <f t="shared" si="0"/>
        <v>0</v>
      </c>
      <c r="K61" s="127"/>
      <c r="L61" s="127">
        <f t="shared" si="7"/>
        <v>0</v>
      </c>
      <c r="M61" s="127"/>
      <c r="N61" s="127">
        <f t="shared" si="8"/>
        <v>0</v>
      </c>
      <c r="O61" s="127"/>
      <c r="P61" s="127">
        <f t="shared" si="9"/>
        <v>0</v>
      </c>
      <c r="Q61" s="127"/>
      <c r="R61" s="127">
        <f t="shared" si="10"/>
        <v>0</v>
      </c>
      <c r="S61" s="127"/>
      <c r="T61" s="127">
        <f t="shared" si="11"/>
        <v>0</v>
      </c>
      <c r="U61" s="127"/>
      <c r="V61" s="127">
        <f t="shared" si="12"/>
        <v>0</v>
      </c>
    </row>
    <row r="62" spans="1:22" ht="90">
      <c r="A62" s="202" t="s">
        <v>374</v>
      </c>
      <c r="B62" s="171">
        <v>42</v>
      </c>
      <c r="C62" s="172" t="s">
        <v>375</v>
      </c>
      <c r="D62" s="171" t="s">
        <v>376</v>
      </c>
      <c r="E62" s="171">
        <v>0.58299999999999996</v>
      </c>
      <c r="F62" s="71"/>
      <c r="G62" s="71">
        <f t="shared" si="0"/>
        <v>0</v>
      </c>
      <c r="H62" s="72"/>
      <c r="I62" s="127"/>
      <c r="J62" s="127">
        <f t="shared" si="0"/>
        <v>0</v>
      </c>
      <c r="K62" s="127"/>
      <c r="L62" s="127">
        <f t="shared" si="7"/>
        <v>0</v>
      </c>
      <c r="M62" s="127"/>
      <c r="N62" s="127">
        <f t="shared" si="8"/>
        <v>0</v>
      </c>
      <c r="O62" s="127"/>
      <c r="P62" s="127">
        <f t="shared" si="9"/>
        <v>0</v>
      </c>
      <c r="Q62" s="127"/>
      <c r="R62" s="127">
        <f t="shared" si="10"/>
        <v>0</v>
      </c>
      <c r="S62" s="127"/>
      <c r="T62" s="127">
        <f t="shared" si="11"/>
        <v>0</v>
      </c>
      <c r="U62" s="127"/>
      <c r="V62" s="127">
        <f t="shared" si="12"/>
        <v>0</v>
      </c>
    </row>
    <row r="63" spans="1:22" ht="30">
      <c r="A63" s="74"/>
      <c r="B63" s="171">
        <v>43</v>
      </c>
      <c r="C63" s="172" t="s">
        <v>377</v>
      </c>
      <c r="D63" s="171" t="s">
        <v>320</v>
      </c>
      <c r="E63" s="171">
        <v>0.39700000000000002</v>
      </c>
      <c r="F63" s="71"/>
      <c r="G63" s="71">
        <f t="shared" si="0"/>
        <v>0</v>
      </c>
      <c r="H63" s="72"/>
      <c r="I63" s="127"/>
      <c r="J63" s="127">
        <f t="shared" si="0"/>
        <v>0</v>
      </c>
      <c r="K63" s="127"/>
      <c r="L63" s="127">
        <f t="shared" si="7"/>
        <v>0</v>
      </c>
      <c r="M63" s="127"/>
      <c r="N63" s="127">
        <f t="shared" si="8"/>
        <v>0</v>
      </c>
      <c r="O63" s="127"/>
      <c r="P63" s="127">
        <f t="shared" si="9"/>
        <v>0</v>
      </c>
      <c r="Q63" s="127"/>
      <c r="R63" s="127">
        <f t="shared" si="10"/>
        <v>0</v>
      </c>
      <c r="S63" s="127"/>
      <c r="T63" s="127">
        <f t="shared" si="11"/>
        <v>0</v>
      </c>
      <c r="U63" s="127"/>
      <c r="V63" s="127">
        <f t="shared" si="12"/>
        <v>0</v>
      </c>
    </row>
    <row r="64" spans="1:22" ht="45">
      <c r="A64" s="202" t="s">
        <v>378</v>
      </c>
      <c r="B64" s="171">
        <v>44</v>
      </c>
      <c r="C64" s="172" t="s">
        <v>379</v>
      </c>
      <c r="D64" s="171" t="s">
        <v>326</v>
      </c>
      <c r="E64" s="171">
        <v>0.104</v>
      </c>
      <c r="F64" s="71">
        <f>G4</f>
        <v>51539.3</v>
      </c>
      <c r="G64" s="71">
        <f t="shared" si="0"/>
        <v>5360.0871999999999</v>
      </c>
      <c r="H64" s="125"/>
      <c r="I64" s="127">
        <f>J4</f>
        <v>28124.7</v>
      </c>
      <c r="J64" s="127">
        <f t="shared" si="0"/>
        <v>2924.9688000000001</v>
      </c>
      <c r="K64" s="127">
        <f ca="1">L4</f>
        <v>23414.6</v>
      </c>
      <c r="L64" s="127">
        <f t="shared" ca="1" si="7"/>
        <v>2435.1183999999998</v>
      </c>
      <c r="M64" s="127">
        <f ca="1">N4</f>
        <v>30089</v>
      </c>
      <c r="N64" s="127">
        <f t="shared" ca="1" si="8"/>
        <v>3129.2559999999999</v>
      </c>
      <c r="O64" s="127">
        <f ca="1">P4</f>
        <v>17431</v>
      </c>
      <c r="P64" s="127">
        <f t="shared" ca="1" si="9"/>
        <v>1812.8239999999998</v>
      </c>
      <c r="Q64" s="127">
        <f ca="1">R4</f>
        <v>24133</v>
      </c>
      <c r="R64" s="127">
        <f t="shared" ca="1" si="10"/>
        <v>2509.8319999999999</v>
      </c>
      <c r="S64" s="127">
        <f ca="1">T4</f>
        <v>30991</v>
      </c>
      <c r="T64" s="127">
        <f t="shared" ca="1" si="11"/>
        <v>3223.0639999999999</v>
      </c>
      <c r="U64" s="127" t="e">
        <f>V4</f>
        <v>#N/A</v>
      </c>
      <c r="V64" s="127" t="e">
        <f t="shared" si="12"/>
        <v>#N/A</v>
      </c>
    </row>
    <row r="65" spans="1:22" ht="30">
      <c r="A65" s="58" t="s">
        <v>398</v>
      </c>
      <c r="B65" s="58" t="s">
        <v>399</v>
      </c>
      <c r="C65" s="58" t="s">
        <v>400</v>
      </c>
      <c r="D65" s="58" t="s">
        <v>401</v>
      </c>
      <c r="E65" s="62"/>
      <c r="F65" s="62"/>
      <c r="G65" s="59"/>
      <c r="H65" s="125"/>
      <c r="I65" s="127"/>
      <c r="J65" s="131"/>
      <c r="K65" s="127"/>
      <c r="L65" s="131"/>
      <c r="M65" s="127"/>
      <c r="N65" s="131"/>
      <c r="O65" s="127"/>
      <c r="P65" s="131"/>
      <c r="Q65" s="127"/>
      <c r="R65" s="131"/>
      <c r="S65" s="127"/>
      <c r="T65" s="131"/>
      <c r="U65" s="127"/>
      <c r="V65" s="131"/>
    </row>
    <row r="66" spans="1:22">
      <c r="A66" s="249" t="s">
        <v>406</v>
      </c>
      <c r="B66" s="250"/>
      <c r="C66" s="250"/>
      <c r="D66" s="250"/>
      <c r="E66" s="250"/>
      <c r="F66" s="250"/>
      <c r="G66" s="251"/>
      <c r="H66" s="125"/>
      <c r="I66" s="127"/>
      <c r="J66" s="131"/>
      <c r="K66" s="127"/>
      <c r="L66" s="131"/>
      <c r="M66" s="127"/>
      <c r="N66" s="131"/>
      <c r="O66" s="127"/>
      <c r="P66" s="131"/>
      <c r="Q66" s="127"/>
      <c r="R66" s="131"/>
      <c r="S66" s="127"/>
      <c r="T66" s="131"/>
      <c r="U66" s="127"/>
      <c r="V66" s="131"/>
    </row>
    <row r="67" spans="1:22" ht="15" customHeight="1">
      <c r="A67" s="246" t="s">
        <v>407</v>
      </c>
      <c r="B67" s="247"/>
      <c r="C67" s="247"/>
      <c r="D67" s="247"/>
      <c r="E67" s="247"/>
      <c r="F67" s="247"/>
      <c r="G67" s="248"/>
      <c r="H67" s="125"/>
      <c r="I67" s="127"/>
      <c r="J67" s="131"/>
      <c r="K67" s="127"/>
      <c r="L67" s="131"/>
      <c r="M67" s="127"/>
      <c r="N67" s="131"/>
      <c r="O67" s="127"/>
      <c r="P67" s="131"/>
      <c r="Q67" s="127"/>
      <c r="R67" s="131"/>
      <c r="S67" s="127"/>
      <c r="T67" s="131"/>
      <c r="U67" s="127"/>
      <c r="V67" s="131"/>
    </row>
    <row r="68" spans="1:22">
      <c r="A68" s="59" t="s">
        <v>402</v>
      </c>
      <c r="B68" s="170">
        <v>0.4</v>
      </c>
      <c r="C68" s="243">
        <f>G6</f>
        <v>1841</v>
      </c>
      <c r="D68" s="252" t="s">
        <v>688</v>
      </c>
      <c r="E68" s="253"/>
      <c r="F68" s="254"/>
      <c r="G68" s="73">
        <f>$B68*$C$68</f>
        <v>736.40000000000009</v>
      </c>
      <c r="H68" s="125"/>
      <c r="I68" s="127"/>
      <c r="J68" s="73">
        <f>$B68*J6</f>
        <v>402</v>
      </c>
      <c r="K68" s="127"/>
      <c r="L68" s="73">
        <f ca="1">$B68*L6</f>
        <v>334.8</v>
      </c>
      <c r="M68" s="127"/>
      <c r="N68" s="73">
        <f ca="1">$B68*N6</f>
        <v>430</v>
      </c>
      <c r="O68" s="127"/>
      <c r="P68" s="73">
        <f ca="1">$B68*P6</f>
        <v>249.20000000000002</v>
      </c>
      <c r="Q68" s="127"/>
      <c r="R68" s="73">
        <f ca="1">$B68*R6</f>
        <v>344.8</v>
      </c>
      <c r="S68" s="127"/>
      <c r="T68" s="73">
        <f ca="1">$B68*T6</f>
        <v>442.8</v>
      </c>
      <c r="U68" s="127"/>
      <c r="V68" s="73" t="e">
        <f>$B68*V6</f>
        <v>#N/A</v>
      </c>
    </row>
    <row r="69" spans="1:22" ht="30">
      <c r="A69" s="59" t="s">
        <v>403</v>
      </c>
      <c r="B69" s="170">
        <v>0.1</v>
      </c>
      <c r="C69" s="243"/>
      <c r="D69" s="255"/>
      <c r="E69" s="256"/>
      <c r="F69" s="257"/>
      <c r="G69" s="73">
        <f>$B69*$C$68</f>
        <v>184.10000000000002</v>
      </c>
      <c r="H69" s="125"/>
      <c r="I69" s="127"/>
      <c r="J69" s="73">
        <f>$B69*J6</f>
        <v>100.5</v>
      </c>
      <c r="K69" s="127"/>
      <c r="L69" s="73">
        <f ca="1">$B69*L6</f>
        <v>83.7</v>
      </c>
      <c r="M69" s="127"/>
      <c r="N69" s="73">
        <f ca="1">$B69*N6</f>
        <v>107.5</v>
      </c>
      <c r="O69" s="127"/>
      <c r="P69" s="73">
        <f ca="1">$B69*P6</f>
        <v>62.300000000000004</v>
      </c>
      <c r="Q69" s="127"/>
      <c r="R69" s="73">
        <f ca="1">$B69*R6</f>
        <v>86.2</v>
      </c>
      <c r="S69" s="127"/>
      <c r="T69" s="73">
        <f ca="1">$B69*T6</f>
        <v>110.7</v>
      </c>
      <c r="U69" s="127"/>
      <c r="V69" s="73" t="e">
        <f>$B69*V6</f>
        <v>#N/A</v>
      </c>
    </row>
    <row r="70" spans="1:22">
      <c r="A70" s="59" t="s">
        <v>404</v>
      </c>
      <c r="B70" s="170">
        <v>3</v>
      </c>
      <c r="C70" s="243"/>
      <c r="D70" s="258"/>
      <c r="E70" s="259"/>
      <c r="F70" s="260"/>
      <c r="G70" s="73">
        <f>$B70*$C$68</f>
        <v>5523</v>
      </c>
      <c r="H70" s="125"/>
      <c r="I70" s="127"/>
      <c r="J70" s="73">
        <f>$B70*J6</f>
        <v>3015</v>
      </c>
      <c r="K70" s="127"/>
      <c r="L70" s="73">
        <f ca="1">$B70*L6</f>
        <v>2511</v>
      </c>
      <c r="M70" s="127"/>
      <c r="N70" s="73">
        <f ca="1">$B70*N6</f>
        <v>3225</v>
      </c>
      <c r="O70" s="127"/>
      <c r="P70" s="73">
        <f ca="1">$B70*P6</f>
        <v>1869</v>
      </c>
      <c r="Q70" s="127"/>
      <c r="R70" s="73">
        <f ca="1">$B70*R6</f>
        <v>2586</v>
      </c>
      <c r="S70" s="127"/>
      <c r="T70" s="73">
        <f ca="1">$B70*T6</f>
        <v>3321</v>
      </c>
      <c r="U70" s="127"/>
      <c r="V70" s="73" t="e">
        <f>$B70*V6</f>
        <v>#N/A</v>
      </c>
    </row>
    <row r="71" spans="1:22" ht="49.5" customHeight="1">
      <c r="A71" s="244" t="s">
        <v>408</v>
      </c>
      <c r="B71" s="245"/>
      <c r="C71" s="245"/>
      <c r="D71" s="245"/>
      <c r="E71" s="62"/>
      <c r="F71" s="62"/>
      <c r="G71" s="62"/>
      <c r="H71" s="125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</row>
    <row r="72" spans="1:22" ht="67.5" customHeight="1">
      <c r="A72" s="244" t="s">
        <v>409</v>
      </c>
      <c r="B72" s="245"/>
      <c r="C72" s="245"/>
      <c r="D72" s="245"/>
      <c r="E72" s="62"/>
      <c r="F72" s="62"/>
      <c r="G72" s="62"/>
      <c r="H72" s="125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</row>
    <row r="73" spans="1:22" ht="15" customHeight="1">
      <c r="A73" s="246" t="s">
        <v>410</v>
      </c>
      <c r="B73" s="247"/>
      <c r="C73" s="247"/>
      <c r="D73" s="247"/>
      <c r="E73" s="247"/>
      <c r="F73" s="247"/>
      <c r="G73" s="248"/>
      <c r="H73" s="125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</row>
    <row r="74" spans="1:22" ht="51">
      <c r="A74" s="66" t="s">
        <v>411</v>
      </c>
      <c r="B74" s="170">
        <v>0.4</v>
      </c>
      <c r="C74" s="243">
        <f>G6</f>
        <v>1841</v>
      </c>
      <c r="D74" s="62"/>
      <c r="E74" s="62"/>
      <c r="F74" s="62"/>
      <c r="G74" s="101">
        <f>B74*$C$74</f>
        <v>736.40000000000009</v>
      </c>
      <c r="H74" s="125"/>
      <c r="I74" s="127"/>
      <c r="J74" s="132">
        <f t="shared" ref="J74:V77" si="13">$B74*J$6</f>
        <v>402</v>
      </c>
      <c r="K74" s="127"/>
      <c r="L74" s="132">
        <f t="shared" ca="1" si="13"/>
        <v>334.8</v>
      </c>
      <c r="M74" s="127"/>
      <c r="N74" s="132">
        <f t="shared" ca="1" si="13"/>
        <v>430</v>
      </c>
      <c r="O74" s="127"/>
      <c r="P74" s="132">
        <f t="shared" ca="1" si="13"/>
        <v>249.20000000000002</v>
      </c>
      <c r="Q74" s="127"/>
      <c r="R74" s="132">
        <f t="shared" ca="1" si="13"/>
        <v>344.8</v>
      </c>
      <c r="S74" s="127"/>
      <c r="T74" s="132">
        <f t="shared" ca="1" si="13"/>
        <v>442.8</v>
      </c>
      <c r="U74" s="127"/>
      <c r="V74" s="132" t="e">
        <f t="shared" si="13"/>
        <v>#N/A</v>
      </c>
    </row>
    <row r="75" spans="1:22" ht="118.5" customHeight="1">
      <c r="A75" s="67" t="s">
        <v>416</v>
      </c>
      <c r="B75" s="170">
        <v>0.5</v>
      </c>
      <c r="C75" s="243"/>
      <c r="D75" s="62"/>
      <c r="E75" s="62"/>
      <c r="F75" s="62"/>
      <c r="G75" s="102">
        <f>B75*$C$74</f>
        <v>920.5</v>
      </c>
      <c r="H75" s="141"/>
      <c r="I75" s="127"/>
      <c r="J75" s="132">
        <f t="shared" si="13"/>
        <v>502.5</v>
      </c>
      <c r="K75" s="127"/>
      <c r="L75" s="132">
        <f t="shared" ca="1" si="13"/>
        <v>418.5</v>
      </c>
      <c r="M75" s="127"/>
      <c r="N75" s="132">
        <f t="shared" ca="1" si="13"/>
        <v>537.5</v>
      </c>
      <c r="O75" s="127"/>
      <c r="P75" s="132">
        <f t="shared" ca="1" si="13"/>
        <v>311.5</v>
      </c>
      <c r="Q75" s="127"/>
      <c r="R75" s="132">
        <f t="shared" ca="1" si="13"/>
        <v>431</v>
      </c>
      <c r="S75" s="127"/>
      <c r="T75" s="132">
        <f t="shared" ca="1" si="13"/>
        <v>553.5</v>
      </c>
      <c r="U75" s="127"/>
      <c r="V75" s="132" t="e">
        <f t="shared" si="13"/>
        <v>#N/A</v>
      </c>
    </row>
    <row r="76" spans="1:22" ht="25.5">
      <c r="A76" s="66" t="s">
        <v>412</v>
      </c>
      <c r="B76" s="170">
        <v>0.1</v>
      </c>
      <c r="C76" s="243"/>
      <c r="D76" s="62"/>
      <c r="E76" s="62"/>
      <c r="F76" s="62"/>
      <c r="G76" s="101">
        <f>B76*$C$74</f>
        <v>184.10000000000002</v>
      </c>
      <c r="H76" s="125"/>
      <c r="I76" s="127"/>
      <c r="J76" s="132">
        <f t="shared" si="13"/>
        <v>100.5</v>
      </c>
      <c r="K76" s="127"/>
      <c r="L76" s="132">
        <f t="shared" ca="1" si="13"/>
        <v>83.7</v>
      </c>
      <c r="M76" s="127"/>
      <c r="N76" s="132">
        <f t="shared" ca="1" si="13"/>
        <v>107.5</v>
      </c>
      <c r="O76" s="127"/>
      <c r="P76" s="132">
        <f t="shared" ca="1" si="13"/>
        <v>62.300000000000004</v>
      </c>
      <c r="Q76" s="127"/>
      <c r="R76" s="132">
        <f t="shared" ca="1" si="13"/>
        <v>86.2</v>
      </c>
      <c r="S76" s="127"/>
      <c r="T76" s="132">
        <f t="shared" ca="1" si="13"/>
        <v>110.7</v>
      </c>
      <c r="U76" s="127"/>
      <c r="V76" s="132" t="e">
        <f t="shared" si="13"/>
        <v>#N/A</v>
      </c>
    </row>
    <row r="77" spans="1:22" ht="76.5">
      <c r="A77" s="66" t="s">
        <v>413</v>
      </c>
      <c r="B77" s="170">
        <v>0.03</v>
      </c>
      <c r="C77" s="243"/>
      <c r="D77" s="62"/>
      <c r="E77" s="62"/>
      <c r="F77" s="62"/>
      <c r="G77" s="101">
        <f>B77*$C$74</f>
        <v>55.23</v>
      </c>
      <c r="H77" s="125"/>
      <c r="I77" s="127"/>
      <c r="J77" s="132">
        <f t="shared" si="13"/>
        <v>30.15</v>
      </c>
      <c r="K77" s="127"/>
      <c r="L77" s="132">
        <f t="shared" ca="1" si="13"/>
        <v>25.11</v>
      </c>
      <c r="M77" s="127"/>
      <c r="N77" s="132">
        <f t="shared" ca="1" si="13"/>
        <v>32.25</v>
      </c>
      <c r="O77" s="127"/>
      <c r="P77" s="132">
        <f t="shared" ca="1" si="13"/>
        <v>18.689999999999998</v>
      </c>
      <c r="Q77" s="127"/>
      <c r="R77" s="132">
        <f t="shared" ca="1" si="13"/>
        <v>25.86</v>
      </c>
      <c r="S77" s="127"/>
      <c r="T77" s="132">
        <f t="shared" ca="1" si="13"/>
        <v>33.21</v>
      </c>
      <c r="U77" s="127"/>
      <c r="V77" s="132" t="e">
        <f t="shared" si="13"/>
        <v>#N/A</v>
      </c>
    </row>
    <row r="78" spans="1:22" ht="25.5">
      <c r="A78" s="66" t="s">
        <v>414</v>
      </c>
      <c r="B78" s="68" t="s">
        <v>415</v>
      </c>
      <c r="C78" s="243"/>
      <c r="D78" s="62"/>
      <c r="E78" s="62"/>
      <c r="F78" s="62"/>
      <c r="G78" s="101" t="str">
        <f>$B78</f>
        <v>400-600</v>
      </c>
      <c r="H78" s="126"/>
      <c r="I78" s="127"/>
      <c r="J78" s="132" t="str">
        <f>$B78</f>
        <v>400-600</v>
      </c>
      <c r="K78" s="127"/>
      <c r="L78" s="132" t="str">
        <f>$B78</f>
        <v>400-600</v>
      </c>
      <c r="M78" s="127"/>
      <c r="N78" s="132" t="str">
        <f>$B78</f>
        <v>400-600</v>
      </c>
      <c r="O78" s="127"/>
      <c r="P78" s="132" t="str">
        <f>$B78</f>
        <v>400-600</v>
      </c>
      <c r="Q78" s="127"/>
      <c r="R78" s="132" t="str">
        <f>$B78</f>
        <v>400-600</v>
      </c>
      <c r="S78" s="127"/>
      <c r="T78" s="132" t="str">
        <f>$B78</f>
        <v>400-600</v>
      </c>
      <c r="U78" s="127"/>
      <c r="V78" s="132" t="str">
        <f>$B78</f>
        <v>400-600</v>
      </c>
    </row>
    <row r="79" spans="1:22" ht="15" customHeight="1">
      <c r="A79" s="249" t="s">
        <v>420</v>
      </c>
      <c r="B79" s="250"/>
      <c r="C79" s="250"/>
      <c r="D79" s="250"/>
      <c r="E79" s="250"/>
      <c r="F79" s="250"/>
      <c r="G79" s="251"/>
      <c r="H79" s="72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</row>
    <row r="80" spans="1:22" ht="168.75" customHeight="1">
      <c r="A80" s="64" t="s">
        <v>417</v>
      </c>
      <c r="B80" s="65">
        <v>0.25</v>
      </c>
      <c r="C80" s="60"/>
      <c r="D80" s="62"/>
      <c r="E80" s="62"/>
      <c r="F80" s="62"/>
      <c r="G80" s="103">
        <f>ROUNDUP(B80*G12,0)</f>
        <v>6069</v>
      </c>
      <c r="H80" s="142"/>
      <c r="I80" s="127"/>
      <c r="J80" s="132">
        <f t="shared" ref="J80:L80" si="14">ROUNDUP($B80*J12,0)</f>
        <v>4175</v>
      </c>
      <c r="K80" s="127"/>
      <c r="L80" s="132">
        <f t="shared" ca="1" si="14"/>
        <v>1894</v>
      </c>
      <c r="M80" s="127"/>
      <c r="N80" s="132">
        <f t="shared" ref="N80:P80" ca="1" si="15">ROUNDUP($B80*N12,0)</f>
        <v>3038</v>
      </c>
      <c r="O80" s="127"/>
      <c r="P80" s="132">
        <f t="shared" ca="1" si="15"/>
        <v>1280</v>
      </c>
      <c r="Q80" s="127"/>
      <c r="R80" s="132">
        <f t="shared" ref="R80" ca="1" si="16">ROUNDUP($B80*R12,0)</f>
        <v>4025</v>
      </c>
      <c r="S80" s="127"/>
      <c r="T80" s="132">
        <f t="shared" ref="T80:V80" ca="1" si="17">ROUNDUP($B80*T12,0)</f>
        <v>2109</v>
      </c>
      <c r="U80" s="127"/>
      <c r="V80" s="132" t="e">
        <f t="shared" si="17"/>
        <v>#N/A</v>
      </c>
    </row>
    <row r="81" spans="1:22" ht="81.75" customHeight="1">
      <c r="A81" s="244" t="s">
        <v>418</v>
      </c>
      <c r="B81" s="245"/>
      <c r="C81" s="245"/>
      <c r="D81" s="245"/>
      <c r="E81" s="62"/>
      <c r="F81" s="62"/>
      <c r="G81" s="62"/>
      <c r="H81" s="72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</row>
    <row r="82" spans="1:22">
      <c r="A82" s="274" t="s">
        <v>685</v>
      </c>
      <c r="B82" s="274"/>
      <c r="C82" s="274"/>
      <c r="D82" s="274"/>
      <c r="E82" s="274"/>
      <c r="F82" s="274"/>
      <c r="G82" s="274"/>
      <c r="H82" s="72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</row>
    <row r="83" spans="1:22" ht="40.5" customHeight="1">
      <c r="A83" s="273" t="s">
        <v>680</v>
      </c>
      <c r="B83" s="273"/>
      <c r="C83" s="273"/>
      <c r="D83" s="273"/>
      <c r="E83" s="273"/>
      <c r="F83" s="273"/>
      <c r="G83" s="196" t="s">
        <v>421</v>
      </c>
      <c r="H83" s="206"/>
      <c r="I83" s="127"/>
      <c r="J83" s="197" t="str">
        <f>LOOKUP(J$2,Расчёт_м_м!$E$1:$AT1,Расчёт_м_м!$E4:$AT4)</f>
        <v>Многоквартирный дом (2.1.1, 2.5, 2.6)</v>
      </c>
      <c r="K83" s="127"/>
      <c r="L83" s="197" t="str">
        <f>LOOKUP(L$2,Расчёт_м_м!$E$1:$AT1,Расчёт_м_м!$E4:$AT4)</f>
        <v>Многоквартирный дом (2.1.1, 2.5, 2.6)</v>
      </c>
      <c r="M83" s="127"/>
      <c r="N83" s="197" t="str">
        <f>LOOKUP(N$2,Расчёт_м_м!$E$1:$AT1,Расчёт_м_м!$E4:$AT4)</f>
        <v>Многоквартирный дом (2.1.1, 2.5, 2.6)</v>
      </c>
      <c r="O83" s="127"/>
      <c r="P83" s="197" t="str">
        <f>LOOKUP(P$2,Расчёт_м_м!$E$1:$AT1,Расчёт_м_м!$E4:$AT4)</f>
        <v>Многоквартирный дом (2.1.1, 2.5, 2.6)</v>
      </c>
      <c r="Q83" s="127"/>
      <c r="R83" s="197" t="str">
        <f>LOOKUP(R$2,Расчёт_м_м!$E$1:$AT1,Расчёт_м_м!$E4:$AT4)</f>
        <v>Многоквартирный дом (2.1.1, 2.5, 2.6)</v>
      </c>
      <c r="S83" s="127"/>
      <c r="T83" s="197" t="str">
        <f>LOOKUP(T$2,Расчёт_м_м!$E$1:$AT1,Расчёт_м_м!$E4:$AT4)</f>
        <v>Многоквартирный дом (2.1.1, 2.5, 2.6)</v>
      </c>
      <c r="U83" s="127"/>
      <c r="V83" s="127"/>
    </row>
    <row r="84" spans="1:22" ht="59.25" customHeight="1">
      <c r="A84" s="273" t="s">
        <v>422</v>
      </c>
      <c r="B84" s="273"/>
      <c r="C84" s="273"/>
      <c r="D84" s="273"/>
      <c r="E84" s="273"/>
      <c r="F84" s="273"/>
      <c r="G84" s="99">
        <f>LOOKUP(G83,Таблицы!$B169:$B171,Таблицы!$D169:$D171)</f>
        <v>33</v>
      </c>
      <c r="H84" s="207"/>
      <c r="I84" s="127"/>
      <c r="J84" s="129">
        <f>LOOKUP(J83,Таблицы!$B169:$B171,Таблицы!$D169:$D171)</f>
        <v>33</v>
      </c>
      <c r="K84" s="129"/>
      <c r="L84" s="129">
        <f>LOOKUP(L83,Таблицы!$B169:$B171,Таблицы!$D169:$D171)</f>
        <v>33</v>
      </c>
      <c r="M84" s="127"/>
      <c r="N84" s="129">
        <f>LOOKUP(N83,Таблицы!$B169:$B171,Таблицы!$D169:$D171)</f>
        <v>33</v>
      </c>
      <c r="O84" s="127"/>
      <c r="P84" s="129">
        <f>LOOKUP(P83,Таблицы!$B169:$B171,Таблицы!$D169:$D171)</f>
        <v>33</v>
      </c>
      <c r="Q84" s="127"/>
      <c r="R84" s="129">
        <f>LOOKUP(R83,Таблицы!$B169:$B171,Таблицы!$D169:$D171)</f>
        <v>33</v>
      </c>
      <c r="S84" s="127"/>
      <c r="T84" s="129">
        <f>LOOKUP(T83,Таблицы!$B169:$B171,Таблицы!$D169:$D171)</f>
        <v>33</v>
      </c>
      <c r="U84" s="127"/>
      <c r="V84" s="134">
        <f>$G84</f>
        <v>33</v>
      </c>
    </row>
    <row r="85" spans="1:22" ht="30">
      <c r="A85" s="58" t="s">
        <v>398</v>
      </c>
      <c r="B85" s="58" t="s">
        <v>399</v>
      </c>
      <c r="C85" s="58" t="s">
        <v>400</v>
      </c>
      <c r="D85" s="267" t="s">
        <v>684</v>
      </c>
      <c r="E85" s="268"/>
      <c r="F85" s="269"/>
      <c r="G85" s="58" t="s">
        <v>401</v>
      </c>
      <c r="H85" s="125"/>
      <c r="I85" s="127"/>
      <c r="J85" s="134">
        <f>ROUNDUP(J4/J84,0)</f>
        <v>853</v>
      </c>
      <c r="K85" s="127"/>
      <c r="L85" s="134">
        <f ca="1">ROUNDUP(L4/L84,0)</f>
        <v>710</v>
      </c>
      <c r="M85" s="127"/>
      <c r="N85" s="134">
        <f ca="1">ROUNDUP(N4/N84,0)</f>
        <v>912</v>
      </c>
      <c r="O85" s="127"/>
      <c r="P85" s="134">
        <f ca="1">ROUNDUP(P4/P84,0)</f>
        <v>529</v>
      </c>
      <c r="Q85" s="127"/>
      <c r="R85" s="134">
        <f ca="1">ROUNDUP(R4/R84,0)</f>
        <v>732</v>
      </c>
      <c r="S85" s="127"/>
      <c r="T85" s="134">
        <f ca="1">ROUNDUP(T4/T84,0)</f>
        <v>940</v>
      </c>
      <c r="U85" s="127"/>
      <c r="V85" s="134" t="e">
        <f>ROUNDUP(#REF!/V84,0)</f>
        <v>#REF!</v>
      </c>
    </row>
    <row r="86" spans="1:22">
      <c r="A86" s="59" t="s">
        <v>402</v>
      </c>
      <c r="B86" s="170">
        <v>0.5</v>
      </c>
      <c r="C86" s="264">
        <f>ROUNDUP(G4/G84,0)</f>
        <v>1562</v>
      </c>
      <c r="D86" s="267"/>
      <c r="E86" s="268"/>
      <c r="F86" s="269"/>
      <c r="G86" s="73">
        <f>B86*$C$86</f>
        <v>781</v>
      </c>
      <c r="H86" s="125"/>
      <c r="I86" s="127"/>
      <c r="J86" s="132">
        <f>$B86*J$85</f>
        <v>426.5</v>
      </c>
      <c r="K86" s="127"/>
      <c r="L86" s="132">
        <f ca="1">$B86*L$85</f>
        <v>355</v>
      </c>
      <c r="M86" s="127"/>
      <c r="N86" s="132">
        <f ca="1">$B86*N$85</f>
        <v>456</v>
      </c>
      <c r="O86" s="127"/>
      <c r="P86" s="132">
        <f ca="1">$B86*P$85</f>
        <v>264.5</v>
      </c>
      <c r="Q86" s="127"/>
      <c r="R86" s="132">
        <f ca="1">$B86*R$85</f>
        <v>366</v>
      </c>
      <c r="S86" s="127"/>
      <c r="T86" s="132">
        <f ca="1">$B86*T$85</f>
        <v>470</v>
      </c>
      <c r="U86" s="127"/>
      <c r="V86" s="132" t="e">
        <f>$B86*V$85</f>
        <v>#REF!</v>
      </c>
    </row>
    <row r="87" spans="1:22" ht="30">
      <c r="A87" s="59" t="s">
        <v>403</v>
      </c>
      <c r="B87" s="170">
        <v>0.1</v>
      </c>
      <c r="C87" s="265"/>
      <c r="D87" s="267"/>
      <c r="E87" s="268"/>
      <c r="F87" s="269"/>
      <c r="G87" s="73">
        <f>B87*$C$86</f>
        <v>156.20000000000002</v>
      </c>
      <c r="H87" s="125"/>
      <c r="I87" s="127"/>
      <c r="J87" s="132">
        <f>$B87*J$85</f>
        <v>85.300000000000011</v>
      </c>
      <c r="K87" s="127"/>
      <c r="L87" s="132">
        <f ca="1">$B87*L$85</f>
        <v>71</v>
      </c>
      <c r="M87" s="127"/>
      <c r="N87" s="132">
        <f ca="1">$B87*N$85</f>
        <v>91.2</v>
      </c>
      <c r="O87" s="127"/>
      <c r="P87" s="132">
        <f ca="1">$B87*P$85</f>
        <v>52.900000000000006</v>
      </c>
      <c r="Q87" s="127"/>
      <c r="R87" s="132">
        <f ca="1">$B87*R$85</f>
        <v>73.2</v>
      </c>
      <c r="S87" s="127"/>
      <c r="T87" s="132">
        <f ca="1">$B87*T$85</f>
        <v>94</v>
      </c>
      <c r="U87" s="127"/>
      <c r="V87" s="132" t="e">
        <f>$B87*V$85</f>
        <v>#REF!</v>
      </c>
    </row>
    <row r="88" spans="1:22" ht="240" customHeight="1">
      <c r="A88" s="205" t="s">
        <v>686</v>
      </c>
      <c r="B88" s="170">
        <v>5</v>
      </c>
      <c r="C88" s="265"/>
      <c r="D88" s="270" t="s">
        <v>687</v>
      </c>
      <c r="E88" s="271"/>
      <c r="F88" s="272"/>
      <c r="G88" s="203">
        <f>B88*$C$86</f>
        <v>7810</v>
      </c>
      <c r="H88" s="126"/>
      <c r="I88" s="127"/>
      <c r="J88" s="132">
        <f>$B88*J$85</f>
        <v>4265</v>
      </c>
      <c r="K88" s="127"/>
      <c r="L88" s="132">
        <f ca="1">$B88*L$85</f>
        <v>3550</v>
      </c>
      <c r="M88" s="127"/>
      <c r="N88" s="132">
        <f ca="1">$B88*N$85</f>
        <v>4560</v>
      </c>
      <c r="O88" s="127"/>
      <c r="P88" s="132">
        <f ca="1">$B88*P$85</f>
        <v>2645</v>
      </c>
      <c r="Q88" s="127"/>
      <c r="R88" s="132">
        <f ca="1">$B88*R$85</f>
        <v>3660</v>
      </c>
      <c r="S88" s="127"/>
      <c r="T88" s="132">
        <f ca="1">$B88*T$85</f>
        <v>4700</v>
      </c>
      <c r="U88" s="127"/>
      <c r="V88" s="132" t="e">
        <f>$B88*V$85</f>
        <v>#REF!</v>
      </c>
    </row>
    <row r="89" spans="1:22" ht="30">
      <c r="A89" s="205" t="s">
        <v>682</v>
      </c>
      <c r="B89" s="170">
        <v>0.7</v>
      </c>
      <c r="C89" s="266"/>
      <c r="D89" s="267"/>
      <c r="E89" s="268"/>
      <c r="F89" s="269"/>
      <c r="G89" s="203">
        <f>B89*$C$86</f>
        <v>1093.3999999999999</v>
      </c>
      <c r="H89" s="125"/>
      <c r="I89" s="127"/>
      <c r="J89" s="132">
        <f>$B89*J$85</f>
        <v>597.09999999999991</v>
      </c>
      <c r="K89" s="127"/>
      <c r="L89" s="132">
        <f ca="1">$B89*L$85</f>
        <v>496.99999999999994</v>
      </c>
      <c r="M89" s="127"/>
      <c r="N89" s="132">
        <f ca="1">$B89*N$85</f>
        <v>638.4</v>
      </c>
      <c r="O89" s="127"/>
      <c r="P89" s="132">
        <f ca="1">$B89*P$85</f>
        <v>370.29999999999995</v>
      </c>
      <c r="Q89" s="127"/>
      <c r="R89" s="132">
        <f ca="1">$B89*R$85</f>
        <v>512.4</v>
      </c>
      <c r="S89" s="127"/>
      <c r="T89" s="132">
        <f ca="1">$B89*T$85</f>
        <v>658</v>
      </c>
      <c r="V89" s="204"/>
    </row>
    <row r="90" spans="1:22" ht="27.75" customHeight="1">
      <c r="A90" s="241" t="s">
        <v>646</v>
      </c>
      <c r="B90" s="241"/>
      <c r="C90" s="241"/>
      <c r="D90" s="241"/>
      <c r="E90" s="165"/>
      <c r="F90" s="165"/>
      <c r="G90" s="165"/>
      <c r="H90" s="12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69"/>
      <c r="V90" s="69"/>
    </row>
    <row r="91" spans="1:22">
      <c r="A91" s="242" t="s">
        <v>402</v>
      </c>
      <c r="B91" s="242"/>
      <c r="C91" s="242"/>
      <c r="D91" s="242"/>
      <c r="E91" s="71"/>
      <c r="F91" s="71"/>
      <c r="G91" s="71">
        <v>903</v>
      </c>
      <c r="H91" s="125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69"/>
      <c r="V91" s="69"/>
    </row>
    <row r="92" spans="1:22" ht="15" customHeight="1">
      <c r="A92" s="242" t="s">
        <v>403</v>
      </c>
      <c r="B92" s="242"/>
      <c r="C92" s="242"/>
      <c r="D92" s="242"/>
      <c r="E92" s="71"/>
      <c r="F92" s="71"/>
      <c r="G92" s="71">
        <v>187</v>
      </c>
      <c r="H92" s="125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69"/>
      <c r="V92" s="69"/>
    </row>
    <row r="93" spans="1:22" ht="15" customHeight="1">
      <c r="A93" s="242" t="s">
        <v>404</v>
      </c>
      <c r="B93" s="242"/>
      <c r="C93" s="242"/>
      <c r="D93" s="242"/>
      <c r="E93" s="71"/>
      <c r="F93" s="71"/>
      <c r="G93" s="71">
        <v>7684</v>
      </c>
      <c r="H93" s="125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69"/>
      <c r="V93" s="69"/>
    </row>
    <row r="94" spans="1:22" ht="43.5" customHeight="1">
      <c r="A94" s="242" t="s">
        <v>645</v>
      </c>
      <c r="B94" s="242"/>
      <c r="C94" s="242"/>
      <c r="D94" s="242"/>
      <c r="E94" s="71"/>
      <c r="F94" s="71"/>
      <c r="G94" s="71">
        <v>507</v>
      </c>
      <c r="H94" s="125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69"/>
      <c r="V94" s="69"/>
    </row>
    <row r="95" spans="1:22">
      <c r="A95" s="240" t="s">
        <v>683</v>
      </c>
      <c r="B95" s="240"/>
      <c r="C95" s="240"/>
      <c r="D95" s="240"/>
      <c r="E95" s="167"/>
      <c r="F95" s="167"/>
      <c r="G95" s="167"/>
      <c r="H95" s="125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69"/>
      <c r="V95" s="69"/>
    </row>
    <row r="96" spans="1:22">
      <c r="A96" s="239" t="s">
        <v>402</v>
      </c>
      <c r="B96" s="239"/>
      <c r="C96" s="239"/>
      <c r="D96" s="239"/>
      <c r="E96" s="166"/>
      <c r="F96" s="166"/>
      <c r="G96" s="166">
        <f>IF(G86&gt;G68,IF(G86-G91&lt;0,0,G86-G91),IF(G68-G91&lt;0,0,G68-G91))</f>
        <v>0</v>
      </c>
      <c r="H96" s="125"/>
      <c r="I96" s="166"/>
      <c r="J96" s="166">
        <f>IF(J86&gt;J68,IF(J86-J91&lt;0,0,J86-J91),IF(J68-J91&lt;0,0,J68-J91))</f>
        <v>426.5</v>
      </c>
      <c r="K96" s="166"/>
      <c r="L96" s="166">
        <f ca="1">IF(L86&gt;L68,IF(L86-L91&lt;0,0,L86-L91),IF(L68-L91&lt;0,0,L68-L91))</f>
        <v>355</v>
      </c>
      <c r="M96" s="166"/>
      <c r="N96" s="166">
        <f ca="1">IF(N86&gt;N68,IF(N86-N91&lt;0,0,N86-N91),IF(N68-N91&lt;0,0,N68-N91))</f>
        <v>456</v>
      </c>
      <c r="O96" s="166"/>
      <c r="P96" s="166">
        <f ca="1">IF(P86&gt;P68,IF(P86-P91&lt;0,0,P86-P91),IF(P68-P91&lt;0,0,P68-P91))</f>
        <v>264.5</v>
      </c>
      <c r="Q96" s="166"/>
      <c r="R96" s="166">
        <f ca="1">IF(R86&gt;R68,IF(R86-R91&lt;0,0,R86-R91),IF(R68-R91&lt;0,0,R68-R91))</f>
        <v>366</v>
      </c>
      <c r="S96" s="166"/>
      <c r="T96" s="166">
        <f ca="1">IF(T86&gt;T68,IF(T86-T91&lt;0,0,T86-T91),IF(T68-T91&lt;0,0,T68-T91))</f>
        <v>470</v>
      </c>
      <c r="U96" s="69"/>
      <c r="V96" s="69"/>
    </row>
    <row r="97" spans="1:22">
      <c r="A97" s="239" t="s">
        <v>403</v>
      </c>
      <c r="B97" s="239"/>
      <c r="C97" s="239"/>
      <c r="D97" s="239"/>
      <c r="E97" s="166"/>
      <c r="F97" s="166"/>
      <c r="G97" s="166">
        <f>IF(G87&gt;G69,IF(G87-G92&lt;0,0,G87-G92),IF(G69-G92&lt;0,0,G69-G92))</f>
        <v>0</v>
      </c>
      <c r="H97" s="125"/>
      <c r="I97" s="166"/>
      <c r="J97" s="166">
        <f>IF(J87&gt;J69,IF(J87-J92&lt;0,0,J87-J92),IF(J69-J92&lt;0,0,J69-J92))</f>
        <v>100.5</v>
      </c>
      <c r="K97" s="166"/>
      <c r="L97" s="166">
        <f ca="1">IF(L87&gt;L69,IF(L87-L92&lt;0,0,L87-L92),IF(L69-L92&lt;0,0,L69-L92))</f>
        <v>83.7</v>
      </c>
      <c r="M97" s="166"/>
      <c r="N97" s="166">
        <f ca="1">IF(N87&gt;N69,IF(N87-N92&lt;0,0,N87-N92),IF(N69-N92&lt;0,0,N69-N92))</f>
        <v>107.5</v>
      </c>
      <c r="O97" s="166"/>
      <c r="P97" s="166">
        <f ca="1">IF(P87&gt;P69,IF(P87-P92&lt;0,0,P87-P92),IF(P69-P92&lt;0,0,P69-P92))</f>
        <v>62.300000000000004</v>
      </c>
      <c r="Q97" s="166"/>
      <c r="R97" s="166">
        <f ca="1">IF(R87&gt;R69,IF(R87-R92&lt;0,0,R87-R92),IF(R69-R92&lt;0,0,R69-R92))</f>
        <v>86.2</v>
      </c>
      <c r="S97" s="166"/>
      <c r="T97" s="166">
        <f ca="1">IF(T87&gt;T69,IF(T87-T92&lt;0,0,T87-T92),IF(T69-T92&lt;0,0,T69-T92))</f>
        <v>110.7</v>
      </c>
      <c r="U97" s="69"/>
      <c r="V97" s="69"/>
    </row>
    <row r="98" spans="1:22">
      <c r="A98" s="239" t="s">
        <v>404</v>
      </c>
      <c r="B98" s="239"/>
      <c r="C98" s="239"/>
      <c r="D98" s="239"/>
      <c r="E98" s="166"/>
      <c r="F98" s="166"/>
      <c r="G98" s="166">
        <f>IF(G88&gt;G70,IF(G88-G93&lt;0,0,G88-G93),IF(G70-G93&lt;0,0,G70-G93))</f>
        <v>126</v>
      </c>
      <c r="H98" s="125"/>
      <c r="I98" s="166"/>
      <c r="J98" s="166">
        <f>IF(J88&gt;J70,IF(J88-J93&lt;0,0,J88-J93),IF(J70-J93&lt;0,0,J70-J93))</f>
        <v>4265</v>
      </c>
      <c r="K98" s="166"/>
      <c r="L98" s="166">
        <f ca="1">IF(L88&gt;L70,IF(L88-L93&lt;0,0,L88-L93),IF(L70-L93&lt;0,0,L70-L93))</f>
        <v>3550</v>
      </c>
      <c r="M98" s="166"/>
      <c r="N98" s="166">
        <f ca="1">IF(N88&gt;N70,IF(N88-N93&lt;0,0,N88-N93),IF(N70-N93&lt;0,0,N70-N93))</f>
        <v>4560</v>
      </c>
      <c r="O98" s="166"/>
      <c r="P98" s="166">
        <f ca="1">IF(P88&gt;P70,IF(P88-P93&lt;0,0,P88-P93),IF(P70-P93&lt;0,0,P70-P93))</f>
        <v>2645</v>
      </c>
      <c r="Q98" s="166"/>
      <c r="R98" s="166">
        <f ca="1">IF(R88&gt;R70,IF(R88-R93&lt;0,0,R88-R93),IF(R70-R93&lt;0,0,R70-R93))</f>
        <v>3660</v>
      </c>
      <c r="S98" s="166"/>
      <c r="T98" s="166">
        <f ca="1">IF(T88&gt;T70,IF(T88-T93&lt;0,0,T88-T93),IF(T70-T93&lt;0,0,T70-T93))</f>
        <v>4700</v>
      </c>
      <c r="U98" s="69"/>
      <c r="V98" s="69"/>
    </row>
    <row r="99" spans="1:22" ht="32.25" customHeight="1">
      <c r="A99" s="239" t="s">
        <v>645</v>
      </c>
      <c r="B99" s="239"/>
      <c r="C99" s="239"/>
      <c r="D99" s="239"/>
      <c r="E99" s="166"/>
      <c r="F99" s="166"/>
      <c r="G99" s="166">
        <f>IF(G75-G94&lt;0,0,G75-G94)</f>
        <v>413.5</v>
      </c>
      <c r="H99" s="125"/>
      <c r="I99" s="166"/>
      <c r="J99" s="166">
        <f>IF(J75-J94&lt;0,0,J75-J94)</f>
        <v>502.5</v>
      </c>
      <c r="K99" s="166"/>
      <c r="L99" s="166">
        <f ca="1">IF(L75-L94&lt;0,0,L75-L94)</f>
        <v>418.5</v>
      </c>
      <c r="M99" s="166"/>
      <c r="N99" s="166">
        <f ca="1">IF(N75-N94&lt;0,0,N75-N94)</f>
        <v>537.5</v>
      </c>
      <c r="O99" s="166"/>
      <c r="P99" s="166">
        <f ca="1">IF(P75-P94&lt;0,0,P75-P94)</f>
        <v>311.5</v>
      </c>
      <c r="Q99" s="166"/>
      <c r="R99" s="166">
        <f ca="1">IF(R75-R94&lt;0,0,R75-R94)</f>
        <v>431</v>
      </c>
      <c r="S99" s="166"/>
      <c r="T99" s="166">
        <f ca="1">IF(T75-T94&lt;0,0,T75-T94)</f>
        <v>553.5</v>
      </c>
      <c r="U99" s="69"/>
      <c r="V99" s="69"/>
    </row>
    <row r="100" spans="1:22"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</row>
    <row r="101" spans="1:22"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</row>
    <row r="102" spans="1:22"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</row>
    <row r="103" spans="1:22"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</row>
    <row r="104" spans="1:22"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</row>
    <row r="105" spans="1:22"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</row>
    <row r="106" spans="1:22"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</row>
    <row r="107" spans="1:22"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</row>
    <row r="108" spans="1:22"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</row>
    <row r="109" spans="1:22"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</row>
    <row r="110" spans="1:22"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</row>
    <row r="111" spans="1:22"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</row>
    <row r="112" spans="1:22"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</row>
    <row r="113" spans="9:22"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</row>
    <row r="114" spans="9:22"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</row>
    <row r="115" spans="9:22"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</row>
    <row r="116" spans="9:22"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</row>
    <row r="117" spans="9:22"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</row>
    <row r="118" spans="9:22"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</row>
    <row r="119" spans="9:22"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</row>
    <row r="120" spans="9:22"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</row>
    <row r="121" spans="9:22"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</row>
    <row r="122" spans="9:22"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</row>
    <row r="123" spans="9:22"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</row>
    <row r="124" spans="9:22"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</row>
    <row r="125" spans="9:22"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</row>
    <row r="126" spans="9:22"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</row>
    <row r="127" spans="9:22"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</row>
    <row r="128" spans="9:22"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</row>
    <row r="129" spans="9:22"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</row>
    <row r="130" spans="9:22"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</row>
    <row r="131" spans="9:22"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</row>
    <row r="132" spans="9:22"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</row>
    <row r="133" spans="9:22"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</row>
    <row r="134" spans="9:22"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</row>
    <row r="135" spans="9:22"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</row>
    <row r="136" spans="9:22"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</row>
    <row r="137" spans="9:22"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</row>
    <row r="138" spans="9:22"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</row>
    <row r="139" spans="9:22"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</row>
    <row r="140" spans="9:22"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</row>
    <row r="141" spans="9:22"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</row>
    <row r="142" spans="9:22"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</row>
    <row r="143" spans="9:22"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</row>
    <row r="144" spans="9:22"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</row>
    <row r="145" spans="9:22"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</row>
    <row r="146" spans="9:22"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</row>
    <row r="147" spans="9:22"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</row>
    <row r="148" spans="9:22"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</row>
    <row r="149" spans="9:22"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</row>
    <row r="150" spans="9:22"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</row>
    <row r="151" spans="9:22"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</row>
    <row r="152" spans="9:22"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</row>
  </sheetData>
  <mergeCells count="34">
    <mergeCell ref="A84:F84"/>
    <mergeCell ref="A83:F83"/>
    <mergeCell ref="A82:G82"/>
    <mergeCell ref="C74:C78"/>
    <mergeCell ref="A81:D81"/>
    <mergeCell ref="A79:G79"/>
    <mergeCell ref="C86:C89"/>
    <mergeCell ref="D85:F85"/>
    <mergeCell ref="D88:F88"/>
    <mergeCell ref="D86:F86"/>
    <mergeCell ref="D87:F87"/>
    <mergeCell ref="D89:F89"/>
    <mergeCell ref="E42:E43"/>
    <mergeCell ref="A2:C2"/>
    <mergeCell ref="B42:B43"/>
    <mergeCell ref="C42:C43"/>
    <mergeCell ref="D42:D43"/>
    <mergeCell ref="C68:C70"/>
    <mergeCell ref="A71:D71"/>
    <mergeCell ref="A72:D72"/>
    <mergeCell ref="A73:G73"/>
    <mergeCell ref="A66:G66"/>
    <mergeCell ref="A67:G67"/>
    <mergeCell ref="D68:F70"/>
    <mergeCell ref="A90:D90"/>
    <mergeCell ref="A91:D91"/>
    <mergeCell ref="A92:D92"/>
    <mergeCell ref="A93:D93"/>
    <mergeCell ref="A94:D94"/>
    <mergeCell ref="A99:D99"/>
    <mergeCell ref="A95:D95"/>
    <mergeCell ref="A96:D96"/>
    <mergeCell ref="A97:D97"/>
    <mergeCell ref="A98:D98"/>
  </mergeCells>
  <dataValidations count="2">
    <dataValidation type="list" allowBlank="1" showInputMessage="1" showErrorMessage="1" sqref="G83" xr:uid="{D9840E20-6D20-4FFC-84BD-BA5E0E1E960C}">
      <formula1>#REF!</formula1>
    </dataValidation>
    <dataValidation type="list" allowBlank="1" showInputMessage="1" showErrorMessage="1" sqref="H2" xr:uid="{D7A6AABB-B1FF-4217-A665-852113969DB4}">
      <formula1>#REF!</formula1>
    </dataValidation>
  </dataValidations>
  <printOptions gridLines="1"/>
  <pageMargins left="0.7" right="0.7" top="0.75" bottom="0.36" header="0.3" footer="0.3"/>
  <pageSetup paperSize="8" scale="35" pageOrder="overThenDown" orientation="portrait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1B1BB1-0DFC-433B-9006-2C9112C2CE7D}">
          <x14:formula1>
            <xm:f>Расчёт_м_м!$F$1:$FU$1</xm:f>
          </x14:formula1>
          <xm:sqref>G2 V2 T2 R2 P2 N2 L2 J2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220A-B093-4080-A5F1-F3BDCEA0DD0D}">
  <sheetPr codeName="Лист8"/>
  <dimension ref="A1:H19"/>
  <sheetViews>
    <sheetView topLeftCell="A13" zoomScale="85" zoomScaleNormal="85" workbookViewId="0">
      <selection activeCell="N2" sqref="N2"/>
    </sheetView>
  </sheetViews>
  <sheetFormatPr defaultRowHeight="15"/>
  <cols>
    <col min="1" max="1" width="6.5703125" customWidth="1"/>
    <col min="2" max="2" width="14.5703125" customWidth="1"/>
    <col min="4" max="4" width="20.85546875" customWidth="1"/>
    <col min="5" max="5" width="12.28515625" customWidth="1"/>
    <col min="6" max="6" width="13.7109375" customWidth="1"/>
    <col min="7" max="7" width="15.85546875" customWidth="1"/>
  </cols>
  <sheetData>
    <row r="1" spans="1:8">
      <c r="A1" s="275" t="s">
        <v>117</v>
      </c>
      <c r="B1" s="275"/>
      <c r="C1" s="275"/>
      <c r="D1" s="275"/>
      <c r="E1" s="275"/>
      <c r="F1" s="275"/>
      <c r="G1" s="275"/>
    </row>
    <row r="2" spans="1:8" ht="46.5" customHeight="1">
      <c r="A2" s="277" t="s">
        <v>116</v>
      </c>
      <c r="B2" s="277"/>
      <c r="C2" s="40" t="s">
        <v>115</v>
      </c>
      <c r="D2" s="39" t="s">
        <v>114</v>
      </c>
      <c r="E2" s="278" t="s">
        <v>113</v>
      </c>
      <c r="F2" s="279"/>
      <c r="G2" s="38" t="str">
        <f>LOOKUP(D2,'Справочные данные'!A59:A202,'Справочные данные'!B59:B202)</f>
        <v>Т3</v>
      </c>
    </row>
    <row r="3" spans="1:8" ht="26.25" customHeight="1">
      <c r="A3" s="289" t="s">
        <v>112</v>
      </c>
      <c r="B3" s="289"/>
      <c r="C3" s="289"/>
      <c r="D3" s="289"/>
      <c r="E3" s="289"/>
      <c r="F3" s="289"/>
      <c r="G3" s="38">
        <f>LOOKUP(G2,'Справочные данные'!A3:A6,'Справочные данные'!B3:B6)</f>
        <v>0.75</v>
      </c>
    </row>
    <row r="4" spans="1:8" ht="69" customHeight="1">
      <c r="A4" s="280" t="str">
        <f>"Фактическая удалённость до скоростного внеуличного транспорта (т.к. "&amp;A2&amp;" ) по ситуационной схеме"</f>
        <v>Фактическая удалённость до скоростного внеуличного транспорта (т.к. Исходные данные ) по ситуационной схеме</v>
      </c>
      <c r="B4" s="281"/>
      <c r="C4" s="281"/>
      <c r="D4" s="281"/>
      <c r="E4" s="282"/>
      <c r="F4" s="283" t="s">
        <v>111</v>
      </c>
      <c r="G4" s="284"/>
    </row>
    <row r="5" spans="1:8" ht="81" customHeight="1">
      <c r="A5" s="285" t="str">
        <f>LOOKUP(F4,'Справочные данные'!B209:B210,'Справочные данные'!C209:C210)</f>
        <v>Проектируемый Объект попадает только в зону доступности наземного городского пассажирского транспорта (магистральная УДС, на которой организовано движение наземного городского транспорта - не далее 500м); а  скоростной внеуличный транспорт (метрополитен и скоростной трамвай) расположен далее 700м; ввиду этого, согласно Приложения 7 РНГПТ, принят коэффициент К2</v>
      </c>
      <c r="B5" s="285"/>
      <c r="C5" s="285"/>
      <c r="D5" s="285"/>
      <c r="E5" s="285"/>
      <c r="F5" s="285"/>
      <c r="G5" s="37">
        <f>LOOKUP(F4,'Справочные данные'!B209:B210,'Справочные данные'!D209:D210)</f>
        <v>0.85</v>
      </c>
    </row>
    <row r="6" spans="1:8">
      <c r="A6" s="290" t="s">
        <v>110</v>
      </c>
      <c r="B6" s="291"/>
      <c r="C6" s="291"/>
      <c r="D6" s="291"/>
      <c r="E6" s="291"/>
      <c r="F6" s="291"/>
      <c r="G6" s="292"/>
    </row>
    <row r="7" spans="1:8" ht="89.25">
      <c r="A7" s="33" t="s">
        <v>109</v>
      </c>
      <c r="B7" s="33" t="s">
        <v>108</v>
      </c>
      <c r="C7" s="33" t="s">
        <v>107</v>
      </c>
      <c r="D7" s="33" t="s">
        <v>106</v>
      </c>
      <c r="E7" s="33" t="s">
        <v>105</v>
      </c>
      <c r="F7" s="33" t="s">
        <v>104</v>
      </c>
      <c r="G7" s="33" t="s">
        <v>103</v>
      </c>
    </row>
    <row r="8" spans="1:8">
      <c r="A8" s="33">
        <v>1</v>
      </c>
      <c r="B8" s="33">
        <v>2</v>
      </c>
      <c r="C8" s="33">
        <v>3</v>
      </c>
      <c r="D8" s="33">
        <v>4</v>
      </c>
      <c r="E8" s="33">
        <v>5</v>
      </c>
      <c r="F8" s="33">
        <v>6</v>
      </c>
      <c r="G8" s="36">
        <v>7</v>
      </c>
    </row>
    <row r="9" spans="1:8" ht="76.5">
      <c r="A9" s="33">
        <v>1</v>
      </c>
      <c r="B9" s="35" t="s">
        <v>102</v>
      </c>
      <c r="C9" s="33">
        <v>5</v>
      </c>
      <c r="D9" s="33" t="s">
        <v>101</v>
      </c>
      <c r="E9" s="34" t="s">
        <v>100</v>
      </c>
      <c r="F9" s="31">
        <f>LOOKUP(E9,'Справочные данные'!A9:A11,'Справочные данные'!B9:B11)</f>
        <v>1</v>
      </c>
      <c r="G9" s="26" t="str">
        <f>""&amp;C9&amp;"*"&amp;F9&amp;"="&amp;C9*F9&amp;""</f>
        <v>5*1=5</v>
      </c>
      <c r="H9">
        <f>C9*F9</f>
        <v>5</v>
      </c>
    </row>
    <row r="10" spans="1:8" ht="25.5">
      <c r="A10" s="28">
        <v>2</v>
      </c>
      <c r="B10" s="29" t="s">
        <v>99</v>
      </c>
      <c r="C10" s="28">
        <v>5</v>
      </c>
      <c r="D10" s="28" t="s">
        <v>98</v>
      </c>
      <c r="E10" s="34" t="s">
        <v>97</v>
      </c>
      <c r="F10" s="31">
        <f>LOOKUP(E10,'Справочные данные'!A14:A17,'Справочные данные'!B14:B17)</f>
        <v>1</v>
      </c>
      <c r="G10" s="26" t="str">
        <f>""&amp;C10&amp;"*"&amp;F10&amp;"="&amp;C10*F10&amp;""</f>
        <v>5*1=5</v>
      </c>
      <c r="H10">
        <f>C10*F10</f>
        <v>5</v>
      </c>
    </row>
    <row r="11" spans="1:8" ht="38.25">
      <c r="A11" s="33">
        <v>3</v>
      </c>
      <c r="B11" s="35" t="s">
        <v>96</v>
      </c>
      <c r="C11" s="33">
        <v>15</v>
      </c>
      <c r="D11" s="33" t="s">
        <v>95</v>
      </c>
      <c r="E11" s="34" t="s">
        <v>119</v>
      </c>
      <c r="F11" s="31">
        <f>LOOKUP(E11,'Справочные данные'!A20:A23,'Справочные данные'!B20:B23)</f>
        <v>0.25</v>
      </c>
      <c r="G11" s="26" t="str">
        <f>""&amp;C11&amp;"*"&amp;F11&amp;"="&amp;C11*F11&amp;""</f>
        <v>15*0.25=3.75</v>
      </c>
      <c r="H11">
        <f>C11*F11</f>
        <v>3.75</v>
      </c>
    </row>
    <row r="12" spans="1:8" ht="51">
      <c r="A12" s="28">
        <v>4</v>
      </c>
      <c r="B12" s="29" t="s">
        <v>93</v>
      </c>
      <c r="C12" s="28">
        <v>15</v>
      </c>
      <c r="D12" s="28" t="s">
        <v>92</v>
      </c>
      <c r="E12" s="34" t="s">
        <v>91</v>
      </c>
      <c r="F12" s="31">
        <f>LOOKUP(E12,'Справочные данные'!A26:A29,'Справочные данные'!B26:B29)</f>
        <v>0.5</v>
      </c>
      <c r="G12" s="26" t="str">
        <f>""&amp;C12&amp;"*"&amp;F12&amp;"="&amp;C12*F12&amp;""</f>
        <v>15*0.5=7.5</v>
      </c>
      <c r="H12">
        <f>C12*F12</f>
        <v>7.5</v>
      </c>
    </row>
    <row r="13" spans="1:8" ht="51">
      <c r="A13" s="28">
        <v>5</v>
      </c>
      <c r="B13" s="29" t="s">
        <v>90</v>
      </c>
      <c r="C13" s="28">
        <v>20</v>
      </c>
      <c r="D13" s="293" t="s">
        <v>89</v>
      </c>
      <c r="E13" s="293"/>
      <c r="F13" s="27">
        <f>LOOKUP(D13,'Справочные данные'!A32:A36,'Справочные данные'!B32:B36)</f>
        <v>1</v>
      </c>
      <c r="G13" s="26" t="str">
        <f>""&amp;C13&amp;"*"&amp;F13&amp;"="&amp;C13*F13&amp;""</f>
        <v>20*1=20</v>
      </c>
      <c r="H13">
        <f>C13*F13</f>
        <v>20</v>
      </c>
    </row>
    <row r="14" spans="1:8">
      <c r="A14" s="33">
        <v>6</v>
      </c>
      <c r="B14" s="294" t="s">
        <v>88</v>
      </c>
      <c r="C14" s="294"/>
      <c r="D14" s="294"/>
      <c r="E14" s="294"/>
      <c r="F14" s="294"/>
      <c r="G14" s="6"/>
    </row>
    <row r="15" spans="1:8" ht="63.75">
      <c r="A15" s="32" t="s">
        <v>87</v>
      </c>
      <c r="B15" s="29" t="s">
        <v>86</v>
      </c>
      <c r="C15" s="28">
        <v>20</v>
      </c>
      <c r="D15" s="295" t="s">
        <v>85</v>
      </c>
      <c r="E15" s="295"/>
      <c r="F15" s="31">
        <f>LOOKUP(D15,'Справочные данные'!A39:A43,'Справочные данные'!B39:B43)</f>
        <v>0</v>
      </c>
      <c r="G15" s="26" t="str">
        <f>""&amp;C15&amp;"*"&amp;F15&amp;"="&amp;C15*F15&amp;""</f>
        <v>20*0=0</v>
      </c>
      <c r="H15">
        <f>C15*F15</f>
        <v>0</v>
      </c>
    </row>
    <row r="16" spans="1:8" ht="63.75">
      <c r="A16" s="30" t="s">
        <v>84</v>
      </c>
      <c r="B16" s="29" t="s">
        <v>83</v>
      </c>
      <c r="C16" s="28">
        <v>20</v>
      </c>
      <c r="D16" s="293" t="s">
        <v>118</v>
      </c>
      <c r="E16" s="293"/>
      <c r="F16" s="27">
        <f>LOOKUP(D16,'Справочные данные'!A46:A50,'Справочные данные'!B46:B50)</f>
        <v>0.75</v>
      </c>
      <c r="G16" s="26" t="str">
        <f>""&amp;C16&amp;"*"&amp;F16&amp;"="&amp;C16*F16&amp;""</f>
        <v>20*0.75=15</v>
      </c>
      <c r="H16">
        <f>C16*F16</f>
        <v>15</v>
      </c>
    </row>
    <row r="17" spans="1:8" ht="127.5">
      <c r="A17" s="28">
        <v>7</v>
      </c>
      <c r="B17" s="29" t="s">
        <v>81</v>
      </c>
      <c r="C17" s="28">
        <v>20</v>
      </c>
      <c r="D17" s="276" t="str">
        <f>G2</f>
        <v>Т3</v>
      </c>
      <c r="E17" s="276"/>
      <c r="F17" s="27">
        <f>LOOKUP(D17,'Справочные данные'!A3:A6,'Справочные данные'!B53:B56)</f>
        <v>0.5</v>
      </c>
      <c r="G17" s="26" t="str">
        <f>""&amp;C17&amp;"*"&amp;F17&amp;"="&amp;C17*F17&amp;""</f>
        <v>20*0.5=10</v>
      </c>
      <c r="H17">
        <f>C17*F17</f>
        <v>10</v>
      </c>
    </row>
    <row r="18" spans="1:8" ht="25.9" customHeight="1">
      <c r="A18" s="286" t="s">
        <v>80</v>
      </c>
      <c r="B18" s="287"/>
      <c r="C18" s="287"/>
      <c r="D18" s="287"/>
      <c r="E18" s="287"/>
      <c r="F18" s="288"/>
      <c r="G18" s="25">
        <f>SUM(H9:H17)</f>
        <v>66.25</v>
      </c>
    </row>
    <row r="19" spans="1:8" ht="57" customHeight="1">
      <c r="A19" s="276" t="str">
        <f>"По итогам расчета балльной оценки уровня потребности в местах постоянного хранения автомобилей ("&amp;G18&amp;" баллов) принят, согласно п. 6.2.5 РНГПТ, коэффициент обеспеченности Объекта машино-местами для постоянного хранения индивидуального транспорта  КБп"</f>
        <v>По итогам расчета балльной оценки уровня потребности в местах постоянного хранения автомобилей (66.25 баллов) принят, согласно п. 6.2.5 РНГПТ, коэффициент обеспеченности Объекта машино-местами для постоянного хранения индивидуального транспорта  КБп</v>
      </c>
      <c r="B19" s="276"/>
      <c r="C19" s="276"/>
      <c r="D19" s="276"/>
      <c r="E19" s="276"/>
      <c r="F19" s="276"/>
      <c r="G19" s="24">
        <f>IF(G18&gt;75,0.7,IF(OR(G18=50,G18&lt;50),0.5,0.6))</f>
        <v>0.6</v>
      </c>
    </row>
  </sheetData>
  <mergeCells count="15">
    <mergeCell ref="A1:G1"/>
    <mergeCell ref="A19:F19"/>
    <mergeCell ref="A2:B2"/>
    <mergeCell ref="E2:F2"/>
    <mergeCell ref="A4:E4"/>
    <mergeCell ref="F4:G4"/>
    <mergeCell ref="A5:F5"/>
    <mergeCell ref="A18:F18"/>
    <mergeCell ref="A3:F3"/>
    <mergeCell ref="A6:G6"/>
    <mergeCell ref="D13:E13"/>
    <mergeCell ref="B14:F14"/>
    <mergeCell ref="D15:E15"/>
    <mergeCell ref="D17:E17"/>
    <mergeCell ref="D16:E1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100-000008000000}">
          <x14:formula1>
            <xm:f>'Справочные данные'!$B$209:$B$212</xm:f>
          </x14:formula1>
          <xm:sqref>F4:G4</xm:sqref>
        </x14:dataValidation>
        <x14:dataValidation type="list" allowBlank="1" showInputMessage="1" showErrorMessage="1" xr:uid="{00000000-0002-0000-0100-000007000000}">
          <x14:formula1>
            <xm:f>'Справочные данные'!$A$59:$A$202</xm:f>
          </x14:formula1>
          <xm:sqref>D2</xm:sqref>
        </x14:dataValidation>
        <x14:dataValidation type="list" allowBlank="1" showInputMessage="1" showErrorMessage="1" xr:uid="{00000000-0002-0000-0100-000006000000}">
          <x14:formula1>
            <xm:f>'Справочные данные'!$A$46:$A$50</xm:f>
          </x14:formula1>
          <xm:sqref>D16:E16</xm:sqref>
        </x14:dataValidation>
        <x14:dataValidation type="list" allowBlank="1" showInputMessage="1" showErrorMessage="1" xr:uid="{00000000-0002-0000-0100-000005000000}">
          <x14:formula1>
            <xm:f>'Справочные данные'!$A$39:$A$43</xm:f>
          </x14:formula1>
          <xm:sqref>D15:E15</xm:sqref>
        </x14:dataValidation>
        <x14:dataValidation type="list" allowBlank="1" showInputMessage="1" showErrorMessage="1" xr:uid="{00000000-0002-0000-0100-000004000000}">
          <x14:formula1>
            <xm:f>'Справочные данные'!$A$32:$A$36</xm:f>
          </x14:formula1>
          <xm:sqref>D13:E13</xm:sqref>
        </x14:dataValidation>
        <x14:dataValidation type="list" allowBlank="1" showInputMessage="1" showErrorMessage="1" xr:uid="{00000000-0002-0000-0100-000003000000}">
          <x14:formula1>
            <xm:f>'Справочные данные'!$A$26:$A$29</xm:f>
          </x14:formula1>
          <xm:sqref>E12</xm:sqref>
        </x14:dataValidation>
        <x14:dataValidation type="list" allowBlank="1" showInputMessage="1" showErrorMessage="1" xr:uid="{00000000-0002-0000-0100-000002000000}">
          <x14:formula1>
            <xm:f>'Справочные данные'!$A$20:$A$23</xm:f>
          </x14:formula1>
          <xm:sqref>E11</xm:sqref>
        </x14:dataValidation>
        <x14:dataValidation type="list" allowBlank="1" showInputMessage="1" showErrorMessage="1" xr:uid="{00000000-0002-0000-0100-000001000000}">
          <x14:formula1>
            <xm:f>'Справочные данные'!$A$14:$A$17</xm:f>
          </x14:formula1>
          <xm:sqref>E10</xm:sqref>
        </x14:dataValidation>
        <x14:dataValidation type="list" allowBlank="1" showInputMessage="1" showErrorMessage="1" xr:uid="{00000000-0002-0000-0100-000000000000}">
          <x14:formula1>
            <xm:f>'Справочные данные'!$A$9:$A$11</xm:f>
          </x14:formula1>
          <xm:sqref>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52DA-F6C0-47E1-9767-8EFCC16D4C00}">
  <sheetPr codeName="Лист10"/>
  <dimension ref="A1:H19"/>
  <sheetViews>
    <sheetView topLeftCell="A13" zoomScale="85" zoomScaleNormal="85" workbookViewId="0">
      <selection activeCell="L17" sqref="L17"/>
    </sheetView>
  </sheetViews>
  <sheetFormatPr defaultRowHeight="15"/>
  <cols>
    <col min="1" max="1" width="6.5703125" customWidth="1"/>
    <col min="2" max="2" width="14.5703125" customWidth="1"/>
    <col min="4" max="4" width="20.85546875" customWidth="1"/>
    <col min="5" max="5" width="12.28515625" customWidth="1"/>
    <col min="6" max="6" width="13.7109375" customWidth="1"/>
    <col min="7" max="7" width="15.85546875" customWidth="1"/>
  </cols>
  <sheetData>
    <row r="1" spans="1:8">
      <c r="A1" s="275" t="s">
        <v>117</v>
      </c>
      <c r="B1" s="275"/>
      <c r="C1" s="275"/>
      <c r="D1" s="275"/>
      <c r="E1" s="275"/>
      <c r="F1" s="275"/>
      <c r="G1" s="275"/>
    </row>
    <row r="2" spans="1:8" ht="46.5" customHeight="1">
      <c r="A2" s="277" t="s">
        <v>116</v>
      </c>
      <c r="B2" s="277"/>
      <c r="C2" s="40" t="s">
        <v>115</v>
      </c>
      <c r="D2" s="39" t="s">
        <v>201</v>
      </c>
      <c r="E2" s="278" t="s">
        <v>113</v>
      </c>
      <c r="F2" s="279"/>
      <c r="G2" s="38" t="str">
        <f>LOOKUP(D2,'Справочные данные'!A59:A202,'Справочные данные'!B59:B202)</f>
        <v>Т2</v>
      </c>
    </row>
    <row r="3" spans="1:8" ht="26.25" customHeight="1">
      <c r="A3" s="289" t="s">
        <v>112</v>
      </c>
      <c r="B3" s="289"/>
      <c r="C3" s="289"/>
      <c r="D3" s="289"/>
      <c r="E3" s="289"/>
      <c r="F3" s="289"/>
      <c r="G3" s="38">
        <f>LOOKUP(G2,'Справочные данные'!A3:A6,'Справочные данные'!B3:B6)</f>
        <v>0.85</v>
      </c>
    </row>
    <row r="4" spans="1:8" ht="69" customHeight="1">
      <c r="A4" s="280" t="str">
        <f>"Фактическая удалённость до скоростного внеуличного транспорта (т.к. "&amp;A2&amp;" ) по ситуационной схеме"</f>
        <v>Фактическая удалённость до скоростного внеуличного транспорта (т.к. Исходные данные ) по ситуационной схеме</v>
      </c>
      <c r="B4" s="281"/>
      <c r="C4" s="281"/>
      <c r="D4" s="281"/>
      <c r="E4" s="282"/>
      <c r="F4" s="283" t="s">
        <v>111</v>
      </c>
      <c r="G4" s="284"/>
    </row>
    <row r="5" spans="1:8" ht="81" customHeight="1">
      <c r="A5" s="285" t="str">
        <f>LOOKUP(F4,'Справочные данные'!B209:B210,'Справочные данные'!C209:C210)</f>
        <v>Проектируемый Объект попадает только в зону доступности наземного городского пассажирского транспорта (магистральная УДС, на которой организовано движение наземного городского транспорта - не далее 500м); а  скоростной внеуличный транспорт (метрополитен и скоростной трамвай) расположен далее 700м; ввиду этого, согласно Приложения 7 РНГПТ, принят коэффициент К2</v>
      </c>
      <c r="B5" s="285"/>
      <c r="C5" s="285"/>
      <c r="D5" s="285"/>
      <c r="E5" s="285"/>
      <c r="F5" s="285"/>
      <c r="G5" s="37">
        <f>LOOKUP(F4,'Справочные данные'!B209:B210,'Справочные данные'!D209:D210)</f>
        <v>0.85</v>
      </c>
    </row>
    <row r="6" spans="1:8">
      <c r="A6" s="290" t="s">
        <v>110</v>
      </c>
      <c r="B6" s="291"/>
      <c r="C6" s="291"/>
      <c r="D6" s="291"/>
      <c r="E6" s="291"/>
      <c r="F6" s="291"/>
      <c r="G6" s="292"/>
    </row>
    <row r="7" spans="1:8" ht="89.25">
      <c r="A7" s="33" t="s">
        <v>109</v>
      </c>
      <c r="B7" s="33" t="s">
        <v>108</v>
      </c>
      <c r="C7" s="33" t="s">
        <v>107</v>
      </c>
      <c r="D7" s="33" t="s">
        <v>106</v>
      </c>
      <c r="E7" s="33" t="s">
        <v>105</v>
      </c>
      <c r="F7" s="33" t="s">
        <v>104</v>
      </c>
      <c r="G7" s="33" t="s">
        <v>103</v>
      </c>
    </row>
    <row r="8" spans="1:8">
      <c r="A8" s="33">
        <v>1</v>
      </c>
      <c r="B8" s="33">
        <v>2</v>
      </c>
      <c r="C8" s="33">
        <v>3</v>
      </c>
      <c r="D8" s="33">
        <v>4</v>
      </c>
      <c r="E8" s="33">
        <v>5</v>
      </c>
      <c r="F8" s="33">
        <v>6</v>
      </c>
      <c r="G8" s="36">
        <v>7</v>
      </c>
    </row>
    <row r="9" spans="1:8" ht="76.5">
      <c r="A9" s="33">
        <v>1</v>
      </c>
      <c r="B9" s="35" t="s">
        <v>102</v>
      </c>
      <c r="C9" s="33">
        <v>5</v>
      </c>
      <c r="D9" s="33" t="s">
        <v>101</v>
      </c>
      <c r="E9" s="34" t="s">
        <v>100</v>
      </c>
      <c r="F9" s="31">
        <f>LOOKUP(E9,'Справочные данные'!A9:A11,'Справочные данные'!B9:B11)</f>
        <v>1</v>
      </c>
      <c r="G9" s="26" t="str">
        <f>""&amp;C9&amp;"*"&amp;F9&amp;"="&amp;C9*F9&amp;""</f>
        <v>5*1=5</v>
      </c>
      <c r="H9">
        <f>C9*F9</f>
        <v>5</v>
      </c>
    </row>
    <row r="10" spans="1:8" ht="25.5">
      <c r="A10" s="28">
        <v>2</v>
      </c>
      <c r="B10" s="29" t="s">
        <v>99</v>
      </c>
      <c r="C10" s="28">
        <v>5</v>
      </c>
      <c r="D10" s="28" t="s">
        <v>98</v>
      </c>
      <c r="E10" s="34" t="s">
        <v>97</v>
      </c>
      <c r="F10" s="31">
        <f>LOOKUP(E10,'Справочные данные'!A14:A17,'Справочные данные'!B14:B17)</f>
        <v>1</v>
      </c>
      <c r="G10" s="26" t="str">
        <f>""&amp;C10&amp;"*"&amp;F10&amp;"="&amp;C10*F10&amp;""</f>
        <v>5*1=5</v>
      </c>
      <c r="H10">
        <f>C10*F10</f>
        <v>5</v>
      </c>
    </row>
    <row r="11" spans="1:8" ht="38.25">
      <c r="A11" s="33">
        <v>3</v>
      </c>
      <c r="B11" s="35" t="s">
        <v>96</v>
      </c>
      <c r="C11" s="33">
        <v>15</v>
      </c>
      <c r="D11" s="33" t="s">
        <v>95</v>
      </c>
      <c r="E11" s="34" t="s">
        <v>119</v>
      </c>
      <c r="F11" s="31">
        <f>LOOKUP(E11,'Справочные данные'!A20:A23,'Справочные данные'!B20:B23)</f>
        <v>0.25</v>
      </c>
      <c r="G11" s="26" t="str">
        <f>""&amp;C11&amp;"*"&amp;F11&amp;"="&amp;C11*F11&amp;""</f>
        <v>15*0.25=3.75</v>
      </c>
      <c r="H11">
        <f>C11*F11</f>
        <v>3.75</v>
      </c>
    </row>
    <row r="12" spans="1:8" ht="51">
      <c r="A12" s="28">
        <v>4</v>
      </c>
      <c r="B12" s="29" t="s">
        <v>93</v>
      </c>
      <c r="C12" s="28">
        <v>15</v>
      </c>
      <c r="D12" s="28" t="s">
        <v>92</v>
      </c>
      <c r="E12" s="34" t="s">
        <v>91</v>
      </c>
      <c r="F12" s="31">
        <f>LOOKUP(E12,'Справочные данные'!A26:A29,'Справочные данные'!B26:B29)</f>
        <v>0.5</v>
      </c>
      <c r="G12" s="26" t="str">
        <f>""&amp;C12&amp;"*"&amp;F12&amp;"="&amp;C12*F12&amp;""</f>
        <v>15*0.5=7.5</v>
      </c>
      <c r="H12">
        <f>C12*F12</f>
        <v>7.5</v>
      </c>
    </row>
    <row r="13" spans="1:8" ht="51">
      <c r="A13" s="28">
        <v>5</v>
      </c>
      <c r="B13" s="29" t="s">
        <v>90</v>
      </c>
      <c r="C13" s="28">
        <v>20</v>
      </c>
      <c r="D13" s="293" t="s">
        <v>89</v>
      </c>
      <c r="E13" s="293"/>
      <c r="F13" s="27">
        <f>LOOKUP(D13,'Справочные данные'!A32:A36,'Справочные данные'!B32:B36)</f>
        <v>1</v>
      </c>
      <c r="G13" s="26" t="str">
        <f>""&amp;C13&amp;"*"&amp;F13&amp;"="&amp;C13*F13&amp;""</f>
        <v>20*1=20</v>
      </c>
      <c r="H13">
        <f>C13*F13</f>
        <v>20</v>
      </c>
    </row>
    <row r="14" spans="1:8">
      <c r="A14" s="33">
        <v>6</v>
      </c>
      <c r="B14" s="294" t="s">
        <v>88</v>
      </c>
      <c r="C14" s="294"/>
      <c r="D14" s="294"/>
      <c r="E14" s="294"/>
      <c r="F14" s="294"/>
      <c r="G14" s="6"/>
    </row>
    <row r="15" spans="1:8" ht="63.75">
      <c r="A15" s="32" t="s">
        <v>87</v>
      </c>
      <c r="B15" s="29" t="s">
        <v>86</v>
      </c>
      <c r="C15" s="28">
        <v>20</v>
      </c>
      <c r="D15" s="295" t="s">
        <v>85</v>
      </c>
      <c r="E15" s="295"/>
      <c r="F15" s="31">
        <f>LOOKUP(D15,'Справочные данные'!A39:A43,'Справочные данные'!B39:B43)</f>
        <v>0</v>
      </c>
      <c r="G15" s="26" t="str">
        <f>""&amp;C15&amp;"*"&amp;F15&amp;"="&amp;C15*F15&amp;""</f>
        <v>20*0=0</v>
      </c>
      <c r="H15">
        <f>C15*F15</f>
        <v>0</v>
      </c>
    </row>
    <row r="16" spans="1:8" ht="63.75">
      <c r="A16" s="30" t="s">
        <v>84</v>
      </c>
      <c r="B16" s="29" t="s">
        <v>83</v>
      </c>
      <c r="C16" s="28">
        <v>20</v>
      </c>
      <c r="D16" s="293" t="s">
        <v>118</v>
      </c>
      <c r="E16" s="293"/>
      <c r="F16" s="27">
        <f>LOOKUP(D16,'Справочные данные'!A46:A50,'Справочные данные'!B46:B50)</f>
        <v>0.75</v>
      </c>
      <c r="G16" s="26" t="str">
        <f>""&amp;C16&amp;"*"&amp;F16&amp;"="&amp;C16*F16&amp;""</f>
        <v>20*0.75=15</v>
      </c>
      <c r="H16">
        <f>C16*F16</f>
        <v>15</v>
      </c>
    </row>
    <row r="17" spans="1:8" ht="127.5">
      <c r="A17" s="28">
        <v>7</v>
      </c>
      <c r="B17" s="29" t="s">
        <v>81</v>
      </c>
      <c r="C17" s="28">
        <v>20</v>
      </c>
      <c r="D17" s="276" t="str">
        <f>G2</f>
        <v>Т2</v>
      </c>
      <c r="E17" s="276"/>
      <c r="F17" s="27">
        <f>LOOKUP(D17,'Справочные данные'!A3:A6,'Справочные данные'!B53:B56)</f>
        <v>0.75</v>
      </c>
      <c r="G17" s="26" t="str">
        <f>""&amp;C17&amp;"*"&amp;F17&amp;"="&amp;C17*F17&amp;""</f>
        <v>20*0.75=15</v>
      </c>
      <c r="H17">
        <f>C17*F17</f>
        <v>15</v>
      </c>
    </row>
    <row r="18" spans="1:8" ht="25.9" customHeight="1">
      <c r="A18" s="286" t="s">
        <v>80</v>
      </c>
      <c r="B18" s="287"/>
      <c r="C18" s="287"/>
      <c r="D18" s="287"/>
      <c r="E18" s="287"/>
      <c r="F18" s="288"/>
      <c r="G18" s="25">
        <f>SUM(H9:H17)</f>
        <v>71.25</v>
      </c>
    </row>
    <row r="19" spans="1:8" ht="57" customHeight="1">
      <c r="A19" s="276" t="str">
        <f>"По итогам расчета балльной оценки уровня потребности в местах постоянного хранения автомобилей ("&amp;G18&amp;" баллов) принят, согласно п. 6.2.5 РНГПТ, коэффициент обеспеченности Объекта машино-местами для постоянного хранения индивидуального транспорта  КБп"</f>
        <v>По итогам расчета балльной оценки уровня потребности в местах постоянного хранения автомобилей (71.25 баллов) принят, согласно п. 6.2.5 РНГПТ, коэффициент обеспеченности Объекта машино-местами для постоянного хранения индивидуального транспорта  КБп</v>
      </c>
      <c r="B19" s="276"/>
      <c r="C19" s="276"/>
      <c r="D19" s="276"/>
      <c r="E19" s="276"/>
      <c r="F19" s="276"/>
      <c r="G19" s="24">
        <f>IF(G18&gt;75,0.7,IF(OR(G18=50,G18&lt;50),0.5,0.6))</f>
        <v>0.6</v>
      </c>
    </row>
  </sheetData>
  <mergeCells count="15">
    <mergeCell ref="D17:E17"/>
    <mergeCell ref="A18:F18"/>
    <mergeCell ref="A19:F19"/>
    <mergeCell ref="A5:F5"/>
    <mergeCell ref="A6:G6"/>
    <mergeCell ref="D13:E13"/>
    <mergeCell ref="B14:F14"/>
    <mergeCell ref="D15:E15"/>
    <mergeCell ref="D16:E16"/>
    <mergeCell ref="A1:G1"/>
    <mergeCell ref="A2:B2"/>
    <mergeCell ref="E2:F2"/>
    <mergeCell ref="A3:F3"/>
    <mergeCell ref="A4:E4"/>
    <mergeCell ref="F4:G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C02DABB8-8A17-49BD-AC3C-B2411DA1B16A}">
          <x14:formula1>
            <xm:f>'Справочные данные'!$A$9:$A$11</xm:f>
          </x14:formula1>
          <xm:sqref>E9</xm:sqref>
        </x14:dataValidation>
        <x14:dataValidation type="list" allowBlank="1" showInputMessage="1" showErrorMessage="1" xr:uid="{CA3DC0C7-E2CF-4DC9-A058-F2AC4CE56EB0}">
          <x14:formula1>
            <xm:f>'Справочные данные'!$A$14:$A$17</xm:f>
          </x14:formula1>
          <xm:sqref>E10</xm:sqref>
        </x14:dataValidation>
        <x14:dataValidation type="list" allowBlank="1" showInputMessage="1" showErrorMessage="1" xr:uid="{8DF52969-D22F-4E88-A636-6AF5879523CC}">
          <x14:formula1>
            <xm:f>'Справочные данные'!$A$20:$A$23</xm:f>
          </x14:formula1>
          <xm:sqref>E11</xm:sqref>
        </x14:dataValidation>
        <x14:dataValidation type="list" allowBlank="1" showInputMessage="1" showErrorMessage="1" xr:uid="{51B28795-2E04-4C71-B4CB-8487B9C04D55}">
          <x14:formula1>
            <xm:f>'Справочные данные'!$A$26:$A$29</xm:f>
          </x14:formula1>
          <xm:sqref>E12</xm:sqref>
        </x14:dataValidation>
        <x14:dataValidation type="list" allowBlank="1" showInputMessage="1" showErrorMessage="1" xr:uid="{DA604598-AE5B-4BE8-8419-978DD6F92CA8}">
          <x14:formula1>
            <xm:f>'Справочные данные'!$A$32:$A$36</xm:f>
          </x14:formula1>
          <xm:sqref>D13:E13</xm:sqref>
        </x14:dataValidation>
        <x14:dataValidation type="list" allowBlank="1" showInputMessage="1" showErrorMessage="1" xr:uid="{D1B75659-0115-4E30-B403-A08BB7150FB1}">
          <x14:formula1>
            <xm:f>'Справочные данные'!$A$39:$A$43</xm:f>
          </x14:formula1>
          <xm:sqref>D15:E15</xm:sqref>
        </x14:dataValidation>
        <x14:dataValidation type="list" allowBlank="1" showInputMessage="1" showErrorMessage="1" xr:uid="{B7A56A33-A9B0-4F04-AAC3-4DB5E8EF5450}">
          <x14:formula1>
            <xm:f>'Справочные данные'!$A$46:$A$50</xm:f>
          </x14:formula1>
          <xm:sqref>D16:E16</xm:sqref>
        </x14:dataValidation>
        <x14:dataValidation type="list" allowBlank="1" showInputMessage="1" showErrorMessage="1" xr:uid="{C21BD7A1-25BA-4BA9-93A8-970759415E77}">
          <x14:formula1>
            <xm:f>'Справочные данные'!$A$59:$A$202</xm:f>
          </x14:formula1>
          <xm:sqref>D2</xm:sqref>
        </x14:dataValidation>
        <x14:dataValidation type="list" allowBlank="1" showInputMessage="1" showErrorMessage="1" xr:uid="{D07434F4-5DA7-4F33-91E9-370D8F53F125}">
          <x14:formula1>
            <xm:f>'Справочные данные'!$B$209:$B$212</xm:f>
          </x14:formula1>
          <xm:sqref>F4:G4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C20A-D404-455C-A2FB-ACE710E177EB}">
  <dimension ref="A1:H19"/>
  <sheetViews>
    <sheetView zoomScale="85" zoomScaleNormal="85" workbookViewId="0">
      <selection activeCell="J7" sqref="J7"/>
    </sheetView>
  </sheetViews>
  <sheetFormatPr defaultRowHeight="15"/>
  <cols>
    <col min="1" max="1" width="6.5703125" customWidth="1"/>
    <col min="2" max="2" width="14.5703125" customWidth="1"/>
    <col min="4" max="4" width="20.85546875" customWidth="1"/>
    <col min="5" max="5" width="12.28515625" customWidth="1"/>
    <col min="6" max="6" width="13.7109375" customWidth="1"/>
    <col min="7" max="7" width="15.85546875" customWidth="1"/>
  </cols>
  <sheetData>
    <row r="1" spans="1:8">
      <c r="A1" s="275" t="s">
        <v>117</v>
      </c>
      <c r="B1" s="275"/>
      <c r="C1" s="275"/>
      <c r="D1" s="275"/>
      <c r="E1" s="275"/>
      <c r="F1" s="275"/>
      <c r="G1" s="275"/>
    </row>
    <row r="2" spans="1:8" ht="46.5" customHeight="1">
      <c r="A2" s="277" t="s">
        <v>116</v>
      </c>
      <c r="B2" s="277"/>
      <c r="C2" s="40" t="s">
        <v>115</v>
      </c>
      <c r="D2" s="39" t="s">
        <v>253</v>
      </c>
      <c r="E2" s="278" t="s">
        <v>113</v>
      </c>
      <c r="F2" s="279"/>
      <c r="G2" s="38" t="str">
        <f>LOOKUP(D2,'Справочные данные'!A59:A202,'Справочные данные'!B59:B202)</f>
        <v>Т1</v>
      </c>
    </row>
    <row r="3" spans="1:8" ht="26.25" customHeight="1">
      <c r="A3" s="289" t="s">
        <v>112</v>
      </c>
      <c r="B3" s="289"/>
      <c r="C3" s="289"/>
      <c r="D3" s="289"/>
      <c r="E3" s="289"/>
      <c r="F3" s="289"/>
      <c r="G3" s="38">
        <f>LOOKUP(G2,'Справочные данные'!A3:A6,'Справочные данные'!B3:B6)</f>
        <v>1</v>
      </c>
    </row>
    <row r="4" spans="1:8" ht="69" customHeight="1">
      <c r="A4" s="280" t="str">
        <f>"Фактическая удалённость до скоростного внеуличного транспорта (т.к. "&amp;A2&amp;" ) по ситуационной схеме"</f>
        <v>Фактическая удалённость до скоростного внеуличного транспорта (т.к. Исходные данные ) по ситуационной схеме</v>
      </c>
      <c r="B4" s="281"/>
      <c r="C4" s="281"/>
      <c r="D4" s="281"/>
      <c r="E4" s="282"/>
      <c r="F4" s="283" t="s">
        <v>94</v>
      </c>
      <c r="G4" s="284"/>
    </row>
    <row r="5" spans="1:8" ht="81" customHeight="1">
      <c r="A5" s="285" t="str">
        <f>LOOKUP(F4,'Справочные данные'!B209:B210,'Справочные данные'!C209:C210)</f>
        <v>Проектируемый Объект попадает в зону доступности как городского пассажирского транспорта  (магистральная УДС, на которой организовано движение наземного городского транспорта - не далее 500м), так и скоростного внеуличного транспорта (метрополитен или скоростной трамвай - не далее 700м); ввиду этого, согласно Приложения 7 РНГПТ, принят коэффициент К2</v>
      </c>
      <c r="B5" s="285"/>
      <c r="C5" s="285"/>
      <c r="D5" s="285"/>
      <c r="E5" s="285"/>
      <c r="F5" s="285"/>
      <c r="G5" s="37">
        <f>LOOKUP(F4,'Справочные данные'!B209:B210,'Справочные данные'!D209:D210)</f>
        <v>0.7</v>
      </c>
    </row>
    <row r="6" spans="1:8">
      <c r="A6" s="290" t="s">
        <v>110</v>
      </c>
      <c r="B6" s="291"/>
      <c r="C6" s="291"/>
      <c r="D6" s="291"/>
      <c r="E6" s="291"/>
      <c r="F6" s="291"/>
      <c r="G6" s="292"/>
    </row>
    <row r="7" spans="1:8" ht="89.25">
      <c r="A7" s="33" t="s">
        <v>109</v>
      </c>
      <c r="B7" s="33" t="s">
        <v>108</v>
      </c>
      <c r="C7" s="33" t="s">
        <v>107</v>
      </c>
      <c r="D7" s="33" t="s">
        <v>106</v>
      </c>
      <c r="E7" s="33" t="s">
        <v>105</v>
      </c>
      <c r="F7" s="33" t="s">
        <v>104</v>
      </c>
      <c r="G7" s="33" t="s">
        <v>103</v>
      </c>
    </row>
    <row r="8" spans="1:8">
      <c r="A8" s="33">
        <v>1</v>
      </c>
      <c r="B8" s="33">
        <v>2</v>
      </c>
      <c r="C8" s="33">
        <v>3</v>
      </c>
      <c r="D8" s="33">
        <v>4</v>
      </c>
      <c r="E8" s="33">
        <v>5</v>
      </c>
      <c r="F8" s="33">
        <v>6</v>
      </c>
      <c r="G8" s="36">
        <v>7</v>
      </c>
    </row>
    <row r="9" spans="1:8" ht="76.5">
      <c r="A9" s="33">
        <v>1</v>
      </c>
      <c r="B9" s="76" t="s">
        <v>102</v>
      </c>
      <c r="C9" s="33">
        <v>5</v>
      </c>
      <c r="D9" s="33" t="s">
        <v>101</v>
      </c>
      <c r="E9" s="34" t="s">
        <v>100</v>
      </c>
      <c r="F9" s="31">
        <f>LOOKUP(E9,'Справочные данные'!A9:A11,'Справочные данные'!B9:B11)</f>
        <v>1</v>
      </c>
      <c r="G9" s="26" t="str">
        <f>""&amp;C9&amp;"*"&amp;F9&amp;"="&amp;C9*F9&amp;""</f>
        <v>5*1=5</v>
      </c>
      <c r="H9">
        <f>C9*F9</f>
        <v>5</v>
      </c>
    </row>
    <row r="10" spans="1:8" ht="25.5">
      <c r="A10" s="28">
        <v>2</v>
      </c>
      <c r="B10" s="29" t="s">
        <v>99</v>
      </c>
      <c r="C10" s="28">
        <v>5</v>
      </c>
      <c r="D10" s="28" t="s">
        <v>98</v>
      </c>
      <c r="E10" s="34" t="s">
        <v>97</v>
      </c>
      <c r="F10" s="31">
        <f>LOOKUP(E10,'Справочные данные'!A14:A17,'Справочные данные'!B14:B17)</f>
        <v>1</v>
      </c>
      <c r="G10" s="26" t="str">
        <f>""&amp;C10&amp;"*"&amp;F10&amp;"="&amp;C10*F10&amp;""</f>
        <v>5*1=5</v>
      </c>
      <c r="H10">
        <f>C10*F10</f>
        <v>5</v>
      </c>
    </row>
    <row r="11" spans="1:8" ht="38.25">
      <c r="A11" s="33">
        <v>3</v>
      </c>
      <c r="B11" s="76" t="s">
        <v>96</v>
      </c>
      <c r="C11" s="33">
        <v>15</v>
      </c>
      <c r="D11" s="33" t="s">
        <v>95</v>
      </c>
      <c r="E11" s="34" t="s">
        <v>94</v>
      </c>
      <c r="F11" s="31">
        <f>LOOKUP(E11,'Справочные данные'!A20:A23,'Справочные данные'!B20:B23)</f>
        <v>0</v>
      </c>
      <c r="G11" s="26" t="str">
        <f>""&amp;C11&amp;"*"&amp;F11&amp;"="&amp;C11*F11&amp;""</f>
        <v>15*0=0</v>
      </c>
      <c r="H11">
        <f>C11*F11</f>
        <v>0</v>
      </c>
    </row>
    <row r="12" spans="1:8" ht="51">
      <c r="A12" s="28">
        <v>4</v>
      </c>
      <c r="B12" s="29" t="s">
        <v>93</v>
      </c>
      <c r="C12" s="28">
        <v>15</v>
      </c>
      <c r="D12" s="28" t="s">
        <v>92</v>
      </c>
      <c r="E12" s="34" t="s">
        <v>91</v>
      </c>
      <c r="F12" s="31">
        <f>LOOKUP(E12,'Справочные данные'!A26:A29,'Справочные данные'!B26:B29)</f>
        <v>0.5</v>
      </c>
      <c r="G12" s="26" t="str">
        <f>""&amp;C12&amp;"*"&amp;F12&amp;"="&amp;C12*F12&amp;""</f>
        <v>15*0.5=7.5</v>
      </c>
      <c r="H12">
        <f>C12*F12</f>
        <v>7.5</v>
      </c>
    </row>
    <row r="13" spans="1:8" ht="51">
      <c r="A13" s="28">
        <v>5</v>
      </c>
      <c r="B13" s="29" t="s">
        <v>90</v>
      </c>
      <c r="C13" s="28">
        <v>20</v>
      </c>
      <c r="D13" s="293" t="s">
        <v>89</v>
      </c>
      <c r="E13" s="293"/>
      <c r="F13" s="75">
        <f>LOOKUP(D13,'Справочные данные'!A32:A36,'Справочные данные'!B32:B36)</f>
        <v>1</v>
      </c>
      <c r="G13" s="26" t="str">
        <f>""&amp;C13&amp;"*"&amp;F13&amp;"="&amp;C13*F13&amp;""</f>
        <v>20*1=20</v>
      </c>
      <c r="H13">
        <f>C13*F13</f>
        <v>20</v>
      </c>
    </row>
    <row r="14" spans="1:8">
      <c r="A14" s="33">
        <v>6</v>
      </c>
      <c r="B14" s="294" t="s">
        <v>88</v>
      </c>
      <c r="C14" s="294"/>
      <c r="D14" s="294"/>
      <c r="E14" s="294"/>
      <c r="F14" s="294"/>
      <c r="G14" s="6"/>
    </row>
    <row r="15" spans="1:8" ht="63.75">
      <c r="A15" s="32" t="s">
        <v>87</v>
      </c>
      <c r="B15" s="29" t="s">
        <v>86</v>
      </c>
      <c r="C15" s="28">
        <v>20</v>
      </c>
      <c r="D15" s="295" t="s">
        <v>85</v>
      </c>
      <c r="E15" s="295"/>
      <c r="F15" s="31">
        <f>LOOKUP(D15,'Справочные данные'!A39:A43,'Справочные данные'!B39:B43)</f>
        <v>0</v>
      </c>
      <c r="G15" s="26" t="str">
        <f>""&amp;C15&amp;"*"&amp;F15&amp;"="&amp;C15*F15&amp;""</f>
        <v>20*0=0</v>
      </c>
      <c r="H15">
        <f>C15*F15</f>
        <v>0</v>
      </c>
    </row>
    <row r="16" spans="1:8" ht="63.75">
      <c r="A16" s="30" t="s">
        <v>84</v>
      </c>
      <c r="B16" s="29" t="s">
        <v>83</v>
      </c>
      <c r="C16" s="28">
        <v>20</v>
      </c>
      <c r="D16" s="293" t="s">
        <v>82</v>
      </c>
      <c r="E16" s="293"/>
      <c r="F16" s="75">
        <f>LOOKUP(D16,'Справочные данные'!A46:A50,'Справочные данные'!B46:B50)</f>
        <v>0.25</v>
      </c>
      <c r="G16" s="26" t="str">
        <f>""&amp;C16&amp;"*"&amp;F16&amp;"="&amp;C16*F16&amp;""</f>
        <v>20*0.25=5</v>
      </c>
      <c r="H16">
        <f>C16*F16</f>
        <v>5</v>
      </c>
    </row>
    <row r="17" spans="1:8" ht="127.5">
      <c r="A17" s="28">
        <v>7</v>
      </c>
      <c r="B17" s="29" t="s">
        <v>81</v>
      </c>
      <c r="C17" s="28">
        <v>20</v>
      </c>
      <c r="D17" s="276" t="str">
        <f>G2</f>
        <v>Т1</v>
      </c>
      <c r="E17" s="276"/>
      <c r="F17" s="75">
        <f>LOOKUP(D17,'Справочные данные'!A3:A6,'Справочные данные'!B53:B56)</f>
        <v>1</v>
      </c>
      <c r="G17" s="26" t="str">
        <f>""&amp;C17&amp;"*"&amp;F17&amp;"="&amp;C17*F17&amp;""</f>
        <v>20*1=20</v>
      </c>
      <c r="H17">
        <f>C17*F17</f>
        <v>20</v>
      </c>
    </row>
    <row r="18" spans="1:8" ht="25.9" customHeight="1">
      <c r="A18" s="286" t="s">
        <v>80</v>
      </c>
      <c r="B18" s="287"/>
      <c r="C18" s="287"/>
      <c r="D18" s="287"/>
      <c r="E18" s="287"/>
      <c r="F18" s="288"/>
      <c r="G18" s="25">
        <f>SUM(H9:H17)</f>
        <v>62.5</v>
      </c>
    </row>
    <row r="19" spans="1:8" ht="57" customHeight="1">
      <c r="A19" s="276" t="str">
        <f>"По итогам расчета балльной оценки уровня потребности в местах постоянного хранения автомобилей ("&amp;G18&amp;" баллов) принят, согласно п. 6.2.5 РНГПТ, коэффициент обеспеченности Объекта машино-местами для постоянного хранения индивидуального транспорта  КБп"</f>
        <v>По итогам расчета балльной оценки уровня потребности в местах постоянного хранения автомобилей (62.5 баллов) принят, согласно п. 6.2.5 РНГПТ, коэффициент обеспеченности Объекта машино-местами для постоянного хранения индивидуального транспорта  КБп</v>
      </c>
      <c r="B19" s="276"/>
      <c r="C19" s="276"/>
      <c r="D19" s="276"/>
      <c r="E19" s="276"/>
      <c r="F19" s="276"/>
      <c r="G19" s="24">
        <f>IF(G18&gt;75,0.7,IF(OR(G18=50,G18&lt;50),0.5,0.6))</f>
        <v>0.6</v>
      </c>
    </row>
  </sheetData>
  <mergeCells count="15">
    <mergeCell ref="D17:E17"/>
    <mergeCell ref="A18:F18"/>
    <mergeCell ref="A19:F19"/>
    <mergeCell ref="A5:F5"/>
    <mergeCell ref="A6:G6"/>
    <mergeCell ref="D13:E13"/>
    <mergeCell ref="B14:F14"/>
    <mergeCell ref="D15:E15"/>
    <mergeCell ref="D16:E16"/>
    <mergeCell ref="A1:G1"/>
    <mergeCell ref="A2:B2"/>
    <mergeCell ref="E2:F2"/>
    <mergeCell ref="A3:F3"/>
    <mergeCell ref="A4:E4"/>
    <mergeCell ref="F4:G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EA668A7-3D24-4F47-B6F8-543198D24422}">
          <x14:formula1>
            <xm:f>'Справочные данные'!$B$209:$B$212</xm:f>
          </x14:formula1>
          <xm:sqref>F4:G4</xm:sqref>
        </x14:dataValidation>
        <x14:dataValidation type="list" allowBlank="1" showInputMessage="1" showErrorMessage="1" xr:uid="{986852DC-FB66-4841-A69B-E9F6A03BB0AC}">
          <x14:formula1>
            <xm:f>'Справочные данные'!$A$59:$A$202</xm:f>
          </x14:formula1>
          <xm:sqref>D2</xm:sqref>
        </x14:dataValidation>
        <x14:dataValidation type="list" allowBlank="1" showInputMessage="1" showErrorMessage="1" xr:uid="{822D24A9-A9D5-4495-B1ED-484A044D8AF4}">
          <x14:formula1>
            <xm:f>'Справочные данные'!$A$46:$A$50</xm:f>
          </x14:formula1>
          <xm:sqref>D16:E16</xm:sqref>
        </x14:dataValidation>
        <x14:dataValidation type="list" allowBlank="1" showInputMessage="1" showErrorMessage="1" xr:uid="{098B6A7E-FD31-45B0-B8D4-10DB9C148282}">
          <x14:formula1>
            <xm:f>'Справочные данные'!$A$39:$A$43</xm:f>
          </x14:formula1>
          <xm:sqref>D15:E15</xm:sqref>
        </x14:dataValidation>
        <x14:dataValidation type="list" allowBlank="1" showInputMessage="1" showErrorMessage="1" xr:uid="{A63098A6-EB39-4771-B096-CB3A1CBF1400}">
          <x14:formula1>
            <xm:f>'Справочные данные'!$A$32:$A$36</xm:f>
          </x14:formula1>
          <xm:sqref>D13:E13</xm:sqref>
        </x14:dataValidation>
        <x14:dataValidation type="list" allowBlank="1" showInputMessage="1" showErrorMessage="1" xr:uid="{3BE63539-C38B-41DF-BF10-EF059C4A79C7}">
          <x14:formula1>
            <xm:f>'Справочные данные'!$A$26:$A$29</xm:f>
          </x14:formula1>
          <xm:sqref>E12</xm:sqref>
        </x14:dataValidation>
        <x14:dataValidation type="list" allowBlank="1" showInputMessage="1" showErrorMessage="1" xr:uid="{0DD7F173-17ED-445D-BA7E-4831003B2BFD}">
          <x14:formula1>
            <xm:f>'Справочные данные'!$A$20:$A$23</xm:f>
          </x14:formula1>
          <xm:sqref>E11</xm:sqref>
        </x14:dataValidation>
        <x14:dataValidation type="list" allowBlank="1" showInputMessage="1" showErrorMessage="1" xr:uid="{F8513094-E6A0-46BB-8C8B-FBF14713A5A2}">
          <x14:formula1>
            <xm:f>'Справочные данные'!$A$14:$A$17</xm:f>
          </x14:formula1>
          <xm:sqref>E10</xm:sqref>
        </x14:dataValidation>
        <x14:dataValidation type="list" allowBlank="1" showInputMessage="1" showErrorMessage="1" xr:uid="{4D098D61-CF56-44E7-A932-F6E307E5500A}">
          <x14:formula1>
            <xm:f>'Справочные данные'!$A$9:$A$11</xm:f>
          </x14:formula1>
          <xm:sqref>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1FE6-B049-4D75-AA45-AF03A3DE4420}">
  <sheetPr codeName="Лист11"/>
  <dimension ref="A1:H19"/>
  <sheetViews>
    <sheetView topLeftCell="A22" zoomScale="85" zoomScaleNormal="85" workbookViewId="0">
      <selection activeCell="S17" sqref="S16:S17"/>
    </sheetView>
  </sheetViews>
  <sheetFormatPr defaultRowHeight="15"/>
  <cols>
    <col min="1" max="1" width="6.5703125" customWidth="1"/>
    <col min="2" max="2" width="14.5703125" customWidth="1"/>
    <col min="4" max="4" width="20.85546875" customWidth="1"/>
    <col min="5" max="5" width="12.28515625" customWidth="1"/>
    <col min="6" max="6" width="13.7109375" customWidth="1"/>
    <col min="7" max="7" width="15.85546875" customWidth="1"/>
  </cols>
  <sheetData>
    <row r="1" spans="1:8">
      <c r="A1" s="275" t="s">
        <v>117</v>
      </c>
      <c r="B1" s="275"/>
      <c r="C1" s="275"/>
      <c r="D1" s="275"/>
      <c r="E1" s="275"/>
      <c r="F1" s="275"/>
      <c r="G1" s="275"/>
    </row>
    <row r="2" spans="1:8" ht="46.5" customHeight="1">
      <c r="A2" s="277" t="s">
        <v>116</v>
      </c>
      <c r="B2" s="277"/>
      <c r="C2" s="40" t="s">
        <v>115</v>
      </c>
      <c r="D2" s="39" t="s">
        <v>253</v>
      </c>
      <c r="E2" s="278" t="s">
        <v>113</v>
      </c>
      <c r="F2" s="279"/>
      <c r="G2" s="38" t="str">
        <f>LOOKUP(D2,'Справочные данные'!A59:A202,'Справочные данные'!B59:B202)</f>
        <v>Т1</v>
      </c>
    </row>
    <row r="3" spans="1:8" ht="26.25" customHeight="1">
      <c r="A3" s="289" t="s">
        <v>112</v>
      </c>
      <c r="B3" s="289"/>
      <c r="C3" s="289"/>
      <c r="D3" s="289"/>
      <c r="E3" s="289"/>
      <c r="F3" s="289"/>
      <c r="G3" s="38">
        <f>LOOKUP(G2,'Справочные данные'!A3:A6,'Справочные данные'!B3:B6)</f>
        <v>1</v>
      </c>
    </row>
    <row r="4" spans="1:8" ht="69" customHeight="1">
      <c r="A4" s="280" t="str">
        <f>"Фактическая удалённость до скоростного внеуличного транспорта (т.к. "&amp;A2&amp;" ) по ситуационной схеме"</f>
        <v>Фактическая удалённость до скоростного внеуличного транспорта (т.к. Исходные данные ) по ситуационной схеме</v>
      </c>
      <c r="B4" s="281"/>
      <c r="C4" s="281"/>
      <c r="D4" s="281"/>
      <c r="E4" s="282"/>
      <c r="F4" s="283" t="s">
        <v>94</v>
      </c>
      <c r="G4" s="284"/>
    </row>
    <row r="5" spans="1:8" ht="81" customHeight="1">
      <c r="A5" s="285" t="str">
        <f>LOOKUP(F4,'Справочные данные'!B209:B210,'Справочные данные'!C209:C210)</f>
        <v>Проектируемый Объект попадает в зону доступности как городского пассажирского транспорта  (магистральная УДС, на которой организовано движение наземного городского транспорта - не далее 500м), так и скоростного внеуличного транспорта (метрополитен или скоростной трамвай - не далее 700м); ввиду этого, согласно Приложения 7 РНГПТ, принят коэффициент К2</v>
      </c>
      <c r="B5" s="285"/>
      <c r="C5" s="285"/>
      <c r="D5" s="285"/>
      <c r="E5" s="285"/>
      <c r="F5" s="285"/>
      <c r="G5" s="37">
        <f>LOOKUP(F4,'Справочные данные'!B209:B210,'Справочные данные'!D209:D210)</f>
        <v>0.7</v>
      </c>
    </row>
    <row r="6" spans="1:8">
      <c r="A6" s="290" t="s">
        <v>110</v>
      </c>
      <c r="B6" s="291"/>
      <c r="C6" s="291"/>
      <c r="D6" s="291"/>
      <c r="E6" s="291"/>
      <c r="F6" s="291"/>
      <c r="G6" s="292"/>
    </row>
    <row r="7" spans="1:8" ht="89.25">
      <c r="A7" s="33" t="s">
        <v>109</v>
      </c>
      <c r="B7" s="33" t="s">
        <v>108</v>
      </c>
      <c r="C7" s="33" t="s">
        <v>107</v>
      </c>
      <c r="D7" s="33" t="s">
        <v>106</v>
      </c>
      <c r="E7" s="33" t="s">
        <v>105</v>
      </c>
      <c r="F7" s="33" t="s">
        <v>104</v>
      </c>
      <c r="G7" s="33" t="s">
        <v>103</v>
      </c>
    </row>
    <row r="8" spans="1:8">
      <c r="A8" s="33">
        <v>1</v>
      </c>
      <c r="B8" s="33">
        <v>2</v>
      </c>
      <c r="C8" s="33">
        <v>3</v>
      </c>
      <c r="D8" s="33">
        <v>4</v>
      </c>
      <c r="E8" s="33">
        <v>5</v>
      </c>
      <c r="F8" s="33">
        <v>6</v>
      </c>
      <c r="G8" s="36">
        <v>7</v>
      </c>
    </row>
    <row r="9" spans="1:8" ht="76.5">
      <c r="A9" s="33">
        <v>1</v>
      </c>
      <c r="B9" s="35" t="s">
        <v>102</v>
      </c>
      <c r="C9" s="33">
        <v>5</v>
      </c>
      <c r="D9" s="33" t="s">
        <v>101</v>
      </c>
      <c r="E9" s="34" t="s">
        <v>100</v>
      </c>
      <c r="F9" s="31">
        <f>LOOKUP(E9,'Справочные данные'!A9:A11,'Справочные данные'!B9:B11)</f>
        <v>1</v>
      </c>
      <c r="G9" s="26" t="str">
        <f>""&amp;C9&amp;"*"&amp;F9&amp;"="&amp;C9*F9&amp;""</f>
        <v>5*1=5</v>
      </c>
      <c r="H9">
        <f>C9*F9</f>
        <v>5</v>
      </c>
    </row>
    <row r="10" spans="1:8" ht="25.5">
      <c r="A10" s="28">
        <v>2</v>
      </c>
      <c r="B10" s="29" t="s">
        <v>99</v>
      </c>
      <c r="C10" s="28">
        <v>5</v>
      </c>
      <c r="D10" s="28" t="s">
        <v>98</v>
      </c>
      <c r="E10" s="34" t="s">
        <v>97</v>
      </c>
      <c r="F10" s="31">
        <f>LOOKUP(E10,'Справочные данные'!A14:A17,'Справочные данные'!B14:B17)</f>
        <v>1</v>
      </c>
      <c r="G10" s="26" t="str">
        <f>""&amp;C10&amp;"*"&amp;F10&amp;"="&amp;C10*F10&amp;""</f>
        <v>5*1=5</v>
      </c>
      <c r="H10">
        <f>C10*F10</f>
        <v>5</v>
      </c>
    </row>
    <row r="11" spans="1:8" ht="38.25">
      <c r="A11" s="33">
        <v>3</v>
      </c>
      <c r="B11" s="35" t="s">
        <v>96</v>
      </c>
      <c r="C11" s="33">
        <v>15</v>
      </c>
      <c r="D11" s="33" t="s">
        <v>95</v>
      </c>
      <c r="E11" s="34" t="s">
        <v>94</v>
      </c>
      <c r="F11" s="31">
        <f>LOOKUP(E11,'Справочные данные'!A20:A23,'Справочные данные'!B20:B23)</f>
        <v>0</v>
      </c>
      <c r="G11" s="26" t="str">
        <f>""&amp;C11&amp;"*"&amp;F11&amp;"="&amp;C11*F11&amp;""</f>
        <v>15*0=0</v>
      </c>
      <c r="H11">
        <f>C11*F11</f>
        <v>0</v>
      </c>
    </row>
    <row r="12" spans="1:8" ht="51">
      <c r="A12" s="28">
        <v>4</v>
      </c>
      <c r="B12" s="29" t="s">
        <v>93</v>
      </c>
      <c r="C12" s="28">
        <v>15</v>
      </c>
      <c r="D12" s="28" t="s">
        <v>92</v>
      </c>
      <c r="E12" s="34" t="s">
        <v>91</v>
      </c>
      <c r="F12" s="31">
        <f>LOOKUP(E12,'Справочные данные'!A26:A29,'Справочные данные'!B26:B29)</f>
        <v>0.5</v>
      </c>
      <c r="G12" s="26" t="str">
        <f>""&amp;C12&amp;"*"&amp;F12&amp;"="&amp;C12*F12&amp;""</f>
        <v>15*0.5=7.5</v>
      </c>
      <c r="H12">
        <f>C12*F12</f>
        <v>7.5</v>
      </c>
    </row>
    <row r="13" spans="1:8" ht="51">
      <c r="A13" s="28">
        <v>5</v>
      </c>
      <c r="B13" s="29" t="s">
        <v>90</v>
      </c>
      <c r="C13" s="28">
        <v>20</v>
      </c>
      <c r="D13" s="293" t="s">
        <v>89</v>
      </c>
      <c r="E13" s="293"/>
      <c r="F13" s="27">
        <f>LOOKUP(D13,'Справочные данные'!A32:A36,'Справочные данные'!B32:B36)</f>
        <v>1</v>
      </c>
      <c r="G13" s="26" t="str">
        <f>""&amp;C13&amp;"*"&amp;F13&amp;"="&amp;C13*F13&amp;""</f>
        <v>20*1=20</v>
      </c>
      <c r="H13">
        <f>C13*F13</f>
        <v>20</v>
      </c>
    </row>
    <row r="14" spans="1:8">
      <c r="A14" s="33">
        <v>6</v>
      </c>
      <c r="B14" s="294" t="s">
        <v>88</v>
      </c>
      <c r="C14" s="294"/>
      <c r="D14" s="294"/>
      <c r="E14" s="294"/>
      <c r="F14" s="294"/>
      <c r="G14" s="6"/>
    </row>
    <row r="15" spans="1:8" ht="63.75">
      <c r="A15" s="32" t="s">
        <v>87</v>
      </c>
      <c r="B15" s="29" t="s">
        <v>86</v>
      </c>
      <c r="C15" s="28">
        <v>20</v>
      </c>
      <c r="D15" s="295" t="s">
        <v>85</v>
      </c>
      <c r="E15" s="295"/>
      <c r="F15" s="31">
        <f>LOOKUP(D15,'Справочные данные'!A39:A43,'Справочные данные'!B39:B43)</f>
        <v>0</v>
      </c>
      <c r="G15" s="26" t="str">
        <f>""&amp;C15&amp;"*"&amp;F15&amp;"="&amp;C15*F15&amp;""</f>
        <v>20*0=0</v>
      </c>
      <c r="H15">
        <f>C15*F15</f>
        <v>0</v>
      </c>
    </row>
    <row r="16" spans="1:8" ht="63.75">
      <c r="A16" s="30" t="s">
        <v>84</v>
      </c>
      <c r="B16" s="29" t="s">
        <v>83</v>
      </c>
      <c r="C16" s="28">
        <v>20</v>
      </c>
      <c r="D16" s="293" t="s">
        <v>82</v>
      </c>
      <c r="E16" s="293"/>
      <c r="F16" s="27">
        <f>LOOKUP(D16,'Справочные данные'!A46:A50,'Справочные данные'!B46:B50)</f>
        <v>0.25</v>
      </c>
      <c r="G16" s="26" t="str">
        <f>""&amp;C16&amp;"*"&amp;F16&amp;"="&amp;C16*F16&amp;""</f>
        <v>20*0.25=5</v>
      </c>
      <c r="H16">
        <f>C16*F16</f>
        <v>5</v>
      </c>
    </row>
    <row r="17" spans="1:8" ht="127.5">
      <c r="A17" s="28">
        <v>7</v>
      </c>
      <c r="B17" s="29" t="s">
        <v>81</v>
      </c>
      <c r="C17" s="28">
        <v>20</v>
      </c>
      <c r="D17" s="276" t="str">
        <f>G2</f>
        <v>Т1</v>
      </c>
      <c r="E17" s="276"/>
      <c r="F17" s="27">
        <f>LOOKUP(D17,'Справочные данные'!A3:A6,'Справочные данные'!B53:B56)</f>
        <v>1</v>
      </c>
      <c r="G17" s="26" t="str">
        <f>""&amp;C17&amp;"*"&amp;F17&amp;"="&amp;C17*F17&amp;""</f>
        <v>20*1=20</v>
      </c>
      <c r="H17">
        <f>C17*F17</f>
        <v>20</v>
      </c>
    </row>
    <row r="18" spans="1:8" ht="25.9" customHeight="1">
      <c r="A18" s="286" t="s">
        <v>80</v>
      </c>
      <c r="B18" s="287"/>
      <c r="C18" s="287"/>
      <c r="D18" s="287"/>
      <c r="E18" s="287"/>
      <c r="F18" s="288"/>
      <c r="G18" s="25">
        <f>SUM(H9:H17)</f>
        <v>62.5</v>
      </c>
    </row>
    <row r="19" spans="1:8" ht="57" customHeight="1">
      <c r="A19" s="276" t="str">
        <f>"По итогам расчета балльной оценки уровня потребности в местах постоянного хранения автомобилей ("&amp;G18&amp;" баллов) принят, согласно п. 6.2.5 РНГПТ, коэффициент обеспеченности Объекта машино-местами для постоянного хранения индивидуального транспорта  КБп"</f>
        <v>По итогам расчета балльной оценки уровня потребности в местах постоянного хранения автомобилей (62.5 баллов) принят, согласно п. 6.2.5 РНГПТ, коэффициент обеспеченности Объекта машино-местами для постоянного хранения индивидуального транспорта  КБп</v>
      </c>
      <c r="B19" s="276"/>
      <c r="C19" s="276"/>
      <c r="D19" s="276"/>
      <c r="E19" s="276"/>
      <c r="F19" s="276"/>
      <c r="G19" s="24">
        <f>IF(G18&gt;75,0.7,IF(OR(G18=50,G18&lt;50),0.5,0.6))</f>
        <v>0.6</v>
      </c>
    </row>
  </sheetData>
  <mergeCells count="15">
    <mergeCell ref="A1:G1"/>
    <mergeCell ref="A2:B2"/>
    <mergeCell ref="E2:F2"/>
    <mergeCell ref="A3:F3"/>
    <mergeCell ref="A4:E4"/>
    <mergeCell ref="F4:G4"/>
    <mergeCell ref="D17:E17"/>
    <mergeCell ref="A18:F18"/>
    <mergeCell ref="A19:F19"/>
    <mergeCell ref="A5:F5"/>
    <mergeCell ref="A6:G6"/>
    <mergeCell ref="D13:E13"/>
    <mergeCell ref="B14:F14"/>
    <mergeCell ref="D15:E15"/>
    <mergeCell ref="D16:E1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8000000}">
          <x14:formula1>
            <xm:f>'Справочные данные'!$A$9:$A$11</xm:f>
          </x14:formula1>
          <xm:sqref>E9</xm:sqref>
        </x14:dataValidation>
        <x14:dataValidation type="list" allowBlank="1" showInputMessage="1" showErrorMessage="1" xr:uid="{00000000-0002-0000-0000-000007000000}">
          <x14:formula1>
            <xm:f>'Справочные данные'!$A$14:$A$17</xm:f>
          </x14:formula1>
          <xm:sqref>E10</xm:sqref>
        </x14:dataValidation>
        <x14:dataValidation type="list" allowBlank="1" showInputMessage="1" showErrorMessage="1" xr:uid="{00000000-0002-0000-0000-000006000000}">
          <x14:formula1>
            <xm:f>'Справочные данные'!$A$20:$A$23</xm:f>
          </x14:formula1>
          <xm:sqref>E11</xm:sqref>
        </x14:dataValidation>
        <x14:dataValidation type="list" allowBlank="1" showInputMessage="1" showErrorMessage="1" xr:uid="{00000000-0002-0000-0000-000005000000}">
          <x14:formula1>
            <xm:f>'Справочные данные'!$A$26:$A$29</xm:f>
          </x14:formula1>
          <xm:sqref>E12</xm:sqref>
        </x14:dataValidation>
        <x14:dataValidation type="list" allowBlank="1" showInputMessage="1" showErrorMessage="1" xr:uid="{00000000-0002-0000-0000-000004000000}">
          <x14:formula1>
            <xm:f>'Справочные данные'!$A$32:$A$36</xm:f>
          </x14:formula1>
          <xm:sqref>D13:E13</xm:sqref>
        </x14:dataValidation>
        <x14:dataValidation type="list" allowBlank="1" showInputMessage="1" showErrorMessage="1" xr:uid="{00000000-0002-0000-0000-000003000000}">
          <x14:formula1>
            <xm:f>'Справочные данные'!$A$39:$A$43</xm:f>
          </x14:formula1>
          <xm:sqref>D15:E15</xm:sqref>
        </x14:dataValidation>
        <x14:dataValidation type="list" allowBlank="1" showInputMessage="1" showErrorMessage="1" xr:uid="{00000000-0002-0000-0000-000002000000}">
          <x14:formula1>
            <xm:f>'Справочные данные'!$A$46:$A$50</xm:f>
          </x14:formula1>
          <xm:sqref>D16:E16</xm:sqref>
        </x14:dataValidation>
        <x14:dataValidation type="list" allowBlank="1" showInputMessage="1" showErrorMessage="1" xr:uid="{00000000-0002-0000-0000-000001000000}">
          <x14:formula1>
            <xm:f>'Справочные данные'!$A$59:$A$202</xm:f>
          </x14:formula1>
          <xm:sqref>D2</xm:sqref>
        </x14:dataValidation>
        <x14:dataValidation type="list" allowBlank="1" showInputMessage="1" showErrorMessage="1" xr:uid="{00000000-0002-0000-0000-000000000000}">
          <x14:formula1>
            <xm:f>'Справочные данные'!$B$209:$B$212</xm:f>
          </x14:formula1>
          <xm:sqref>F4:G4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/>
  <dimension ref="B3:G19"/>
  <sheetViews>
    <sheetView workbookViewId="0">
      <selection activeCell="G27" sqref="G27"/>
    </sheetView>
  </sheetViews>
  <sheetFormatPr defaultColWidth="11" defaultRowHeight="15"/>
  <cols>
    <col min="1" max="4" width="11" style="4"/>
    <col min="5" max="5" width="24.42578125" style="4" customWidth="1"/>
    <col min="6" max="6" width="11" style="4"/>
    <col min="7" max="7" width="102.140625" style="4" customWidth="1"/>
    <col min="8" max="16384" width="11" style="4"/>
  </cols>
  <sheetData>
    <row r="3" spans="2:7" ht="45.75" thickBot="1">
      <c r="B3" s="4" t="s">
        <v>18</v>
      </c>
    </row>
    <row r="4" spans="2:7" ht="30.75" thickBot="1">
      <c r="B4" s="7" t="s">
        <v>19</v>
      </c>
      <c r="C4" s="8" t="s">
        <v>20</v>
      </c>
      <c r="D4" s="8" t="s">
        <v>21</v>
      </c>
      <c r="E4" s="8" t="s">
        <v>22</v>
      </c>
      <c r="F4" s="9" t="s">
        <v>23</v>
      </c>
      <c r="G4" s="4" t="s">
        <v>24</v>
      </c>
    </row>
    <row r="5" spans="2:7">
      <c r="B5" s="296" t="s">
        <v>25</v>
      </c>
      <c r="C5" s="10">
        <v>12</v>
      </c>
      <c r="D5" s="10"/>
      <c r="E5" s="10" t="s">
        <v>26</v>
      </c>
      <c r="F5" s="11" t="s">
        <v>27</v>
      </c>
      <c r="G5" s="299" t="s">
        <v>28</v>
      </c>
    </row>
    <row r="6" spans="2:7">
      <c r="B6" s="297"/>
      <c r="C6" s="12">
        <v>10</v>
      </c>
      <c r="D6" s="12"/>
      <c r="E6" s="12" t="s">
        <v>29</v>
      </c>
      <c r="F6" s="13" t="s">
        <v>27</v>
      </c>
      <c r="G6" s="299"/>
    </row>
    <row r="7" spans="2:7">
      <c r="B7" s="297"/>
      <c r="C7" s="12">
        <v>10</v>
      </c>
      <c r="D7" s="12">
        <v>40</v>
      </c>
      <c r="E7" s="12" t="s">
        <v>30</v>
      </c>
      <c r="F7" s="13" t="s">
        <v>27</v>
      </c>
      <c r="G7" s="299"/>
    </row>
    <row r="8" spans="2:7" ht="51.75" customHeight="1">
      <c r="B8" s="297"/>
      <c r="D8" s="12"/>
      <c r="E8" s="12" t="s">
        <v>31</v>
      </c>
      <c r="F8" s="13" t="s">
        <v>27</v>
      </c>
      <c r="G8" s="299"/>
    </row>
    <row r="9" spans="2:7">
      <c r="B9" s="297"/>
      <c r="C9" s="12">
        <v>20</v>
      </c>
      <c r="D9" s="12">
        <v>50</v>
      </c>
      <c r="E9" s="14" t="s">
        <v>32</v>
      </c>
      <c r="F9" s="13" t="s">
        <v>27</v>
      </c>
    </row>
    <row r="10" spans="2:7">
      <c r="B10" s="297"/>
      <c r="C10" s="12"/>
      <c r="D10" s="12">
        <v>100</v>
      </c>
      <c r="E10" s="14" t="s">
        <v>33</v>
      </c>
      <c r="F10" s="13" t="s">
        <v>27</v>
      </c>
    </row>
    <row r="11" spans="2:7">
      <c r="B11" s="297"/>
      <c r="C11" s="12" t="s">
        <v>34</v>
      </c>
      <c r="D11" s="12"/>
      <c r="E11" s="14" t="s">
        <v>35</v>
      </c>
      <c r="F11" s="13" t="s">
        <v>27</v>
      </c>
    </row>
    <row r="12" spans="2:7">
      <c r="B12" s="297"/>
      <c r="C12" s="12">
        <v>20</v>
      </c>
      <c r="D12" s="12"/>
      <c r="E12" s="12" t="s">
        <v>36</v>
      </c>
      <c r="F12" s="13" t="s">
        <v>27</v>
      </c>
    </row>
    <row r="13" spans="2:7">
      <c r="B13" s="297"/>
      <c r="C13" s="12">
        <v>40</v>
      </c>
      <c r="D13" s="12"/>
      <c r="E13" s="12" t="s">
        <v>37</v>
      </c>
      <c r="F13" s="13" t="s">
        <v>27</v>
      </c>
    </row>
    <row r="14" spans="2:7" ht="75">
      <c r="B14" s="297"/>
      <c r="C14" s="12">
        <v>10</v>
      </c>
      <c r="D14" s="12"/>
      <c r="E14" s="12" t="s">
        <v>38</v>
      </c>
      <c r="F14" s="13" t="s">
        <v>39</v>
      </c>
      <c r="G14" s="4" t="s">
        <v>40</v>
      </c>
    </row>
    <row r="15" spans="2:7" ht="30.75" thickBot="1">
      <c r="B15" s="298"/>
      <c r="C15" s="15" t="s">
        <v>41</v>
      </c>
      <c r="D15" s="15"/>
      <c r="E15" s="15" t="s">
        <v>42</v>
      </c>
      <c r="F15" s="16" t="s">
        <v>27</v>
      </c>
    </row>
    <row r="16" spans="2:7">
      <c r="B16" s="297" t="s">
        <v>43</v>
      </c>
      <c r="C16" s="17"/>
      <c r="D16" s="17"/>
      <c r="E16" s="17"/>
      <c r="F16" s="18"/>
    </row>
    <row r="17" spans="2:7">
      <c r="B17" s="297"/>
      <c r="C17" s="12">
        <v>20</v>
      </c>
      <c r="D17" s="12"/>
      <c r="E17" s="12" t="s">
        <v>26</v>
      </c>
      <c r="F17" s="19" t="s">
        <v>44</v>
      </c>
      <c r="G17" s="300" t="s">
        <v>45</v>
      </c>
    </row>
    <row r="18" spans="2:7">
      <c r="B18" s="297"/>
      <c r="C18" s="12">
        <v>20</v>
      </c>
      <c r="D18" s="12"/>
      <c r="E18" s="12" t="s">
        <v>29</v>
      </c>
      <c r="F18" s="19" t="s">
        <v>44</v>
      </c>
      <c r="G18" s="300"/>
    </row>
    <row r="19" spans="2:7" ht="15.75" thickBot="1">
      <c r="B19" s="298"/>
      <c r="C19" s="15">
        <v>20</v>
      </c>
      <c r="D19" s="15"/>
      <c r="E19" s="15" t="s">
        <v>30</v>
      </c>
      <c r="F19" s="19" t="s">
        <v>44</v>
      </c>
      <c r="G19" s="300"/>
    </row>
  </sheetData>
  <mergeCells count="4">
    <mergeCell ref="B5:B15"/>
    <mergeCell ref="G5:G8"/>
    <mergeCell ref="B16:B19"/>
    <mergeCell ref="G17:G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383A-1BB8-4719-A66F-1EDF57D2A166}">
  <sheetPr codeName="Лист9"/>
  <dimension ref="A1:D4"/>
  <sheetViews>
    <sheetView workbookViewId="0">
      <selection activeCell="S17" sqref="S16:S17"/>
    </sheetView>
  </sheetViews>
  <sheetFormatPr defaultRowHeight="15"/>
  <cols>
    <col min="1" max="1" width="11" customWidth="1"/>
    <col min="2" max="2" width="12.28515625" customWidth="1"/>
    <col min="3" max="3" width="10.140625" customWidth="1"/>
  </cols>
  <sheetData>
    <row r="1" spans="1:4">
      <c r="A1" t="s">
        <v>308</v>
      </c>
      <c r="B1" t="s">
        <v>309</v>
      </c>
    </row>
    <row r="2" spans="1:4">
      <c r="A2" t="s">
        <v>310</v>
      </c>
      <c r="B2" t="s">
        <v>311</v>
      </c>
      <c r="C2" t="s">
        <v>312</v>
      </c>
      <c r="D2" t="s">
        <v>313</v>
      </c>
    </row>
    <row r="3" spans="1:4">
      <c r="A3">
        <v>1</v>
      </c>
      <c r="B3">
        <f>10^6*A3</f>
        <v>1000000</v>
      </c>
      <c r="C3">
        <f>B3/9.81</f>
        <v>101936.79918450559</v>
      </c>
      <c r="D3">
        <f>C3/10^4</f>
        <v>10.19367991845056</v>
      </c>
    </row>
    <row r="4" spans="1:4">
      <c r="A4">
        <v>0.12</v>
      </c>
      <c r="B4">
        <f>10^6*A4</f>
        <v>120000</v>
      </c>
      <c r="C4">
        <f>B4/9.81</f>
        <v>12232.415902140672</v>
      </c>
      <c r="D4">
        <f>C4/10^4</f>
        <v>1.2232415902140672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1:H42"/>
  <sheetViews>
    <sheetView workbookViewId="0">
      <selection activeCell="S17" sqref="S16:S17"/>
    </sheetView>
  </sheetViews>
  <sheetFormatPr defaultRowHeight="15"/>
  <cols>
    <col min="1" max="1" width="32.140625" customWidth="1"/>
  </cols>
  <sheetData>
    <row r="1" spans="1:8">
      <c r="C1" t="s">
        <v>0</v>
      </c>
    </row>
    <row r="2" spans="1:8">
      <c r="B2" s="212" t="s">
        <v>7</v>
      </c>
      <c r="C2" s="213"/>
      <c r="D2" s="214"/>
      <c r="F2" s="212" t="s">
        <v>8</v>
      </c>
      <c r="G2" s="213"/>
      <c r="H2" s="214"/>
    </row>
    <row r="3" spans="1:8">
      <c r="B3" t="s">
        <v>2</v>
      </c>
      <c r="C3" t="s">
        <v>3</v>
      </c>
      <c r="D3" t="s">
        <v>1</v>
      </c>
      <c r="F3" t="s">
        <v>4</v>
      </c>
      <c r="G3" t="s">
        <v>5</v>
      </c>
      <c r="H3" t="s">
        <v>6</v>
      </c>
    </row>
    <row r="4" spans="1:8">
      <c r="A4" t="s">
        <v>17</v>
      </c>
      <c r="B4">
        <v>390</v>
      </c>
      <c r="C4">
        <v>396.23</v>
      </c>
      <c r="D4">
        <v>400</v>
      </c>
      <c r="F4">
        <v>1.75</v>
      </c>
      <c r="G4" s="1">
        <f>F4+(C4-B4)*(H4-F4)/(D4-B4)</f>
        <v>1.8123000000000002</v>
      </c>
      <c r="H4">
        <v>1.85</v>
      </c>
    </row>
    <row r="5" spans="1:8">
      <c r="B5">
        <v>10</v>
      </c>
      <c r="C5">
        <v>12</v>
      </c>
      <c r="D5">
        <v>20</v>
      </c>
      <c r="F5">
        <v>3.5</v>
      </c>
      <c r="G5" s="1">
        <f>F5+(C5-B5)*(H5-F5)/(D5-B5)</f>
        <v>3.8</v>
      </c>
      <c r="H5">
        <v>5</v>
      </c>
    </row>
    <row r="6" spans="1:8">
      <c r="B6">
        <v>20</v>
      </c>
      <c r="C6">
        <v>37.799999999999997</v>
      </c>
      <c r="D6">
        <v>70</v>
      </c>
      <c r="F6">
        <v>5</v>
      </c>
      <c r="G6" s="1">
        <f>F6+(C6-B6)*(H6-F6)/(D6-B6)</f>
        <v>5.7119999999999997</v>
      </c>
      <c r="H6">
        <v>7</v>
      </c>
    </row>
    <row r="7" spans="1:8">
      <c r="B7">
        <v>10</v>
      </c>
      <c r="C7">
        <v>10</v>
      </c>
      <c r="D7">
        <v>20</v>
      </c>
      <c r="F7">
        <v>4</v>
      </c>
      <c r="G7" s="1">
        <f>F7+(C7-B7)*(H7-F7)/(D7-B7)</f>
        <v>4</v>
      </c>
      <c r="H7">
        <v>7</v>
      </c>
    </row>
    <row r="8" spans="1:8">
      <c r="B8">
        <v>20</v>
      </c>
      <c r="C8">
        <v>36</v>
      </c>
      <c r="D8">
        <v>70</v>
      </c>
      <c r="F8">
        <v>7</v>
      </c>
      <c r="G8" s="1">
        <f>F8+(C8-B8)*(H8-F8)/(D8-B8)</f>
        <v>7.96</v>
      </c>
      <c r="H8">
        <v>10</v>
      </c>
    </row>
    <row r="10" spans="1:8">
      <c r="C10" s="2" t="s">
        <v>12</v>
      </c>
      <c r="D10" s="3">
        <v>10</v>
      </c>
      <c r="G10" s="1">
        <v>10</v>
      </c>
    </row>
    <row r="11" spans="1:8">
      <c r="B11">
        <v>10</v>
      </c>
      <c r="C11">
        <v>24</v>
      </c>
      <c r="D11">
        <v>50</v>
      </c>
      <c r="F11">
        <v>10</v>
      </c>
      <c r="G11" s="1">
        <f t="shared" ref="G11:G16" si="0">F11+(C11-B11)*(H11-F11)/(D11-B11)</f>
        <v>11.75</v>
      </c>
      <c r="H11">
        <v>15</v>
      </c>
    </row>
    <row r="12" spans="1:8">
      <c r="B12">
        <v>10</v>
      </c>
      <c r="C12">
        <v>36</v>
      </c>
      <c r="D12">
        <v>50</v>
      </c>
      <c r="F12">
        <v>10</v>
      </c>
      <c r="G12" s="1">
        <f t="shared" si="0"/>
        <v>13.25</v>
      </c>
      <c r="H12">
        <v>15</v>
      </c>
    </row>
    <row r="13" spans="1:8">
      <c r="B13">
        <v>50</v>
      </c>
      <c r="C13">
        <v>90</v>
      </c>
      <c r="D13">
        <v>100</v>
      </c>
      <c r="F13">
        <v>15</v>
      </c>
      <c r="G13" s="1">
        <f t="shared" si="0"/>
        <v>23</v>
      </c>
      <c r="H13">
        <v>25</v>
      </c>
    </row>
    <row r="14" spans="1:8" ht="14.25" customHeight="1">
      <c r="B14">
        <v>100</v>
      </c>
      <c r="C14">
        <v>134</v>
      </c>
      <c r="D14">
        <v>300</v>
      </c>
      <c r="F14">
        <v>25</v>
      </c>
      <c r="G14" s="1">
        <f t="shared" si="0"/>
        <v>26.7</v>
      </c>
      <c r="H14">
        <v>35</v>
      </c>
    </row>
    <row r="15" spans="1:8" ht="14.25" customHeight="1">
      <c r="B15">
        <v>100</v>
      </c>
      <c r="C15">
        <v>112</v>
      </c>
      <c r="D15">
        <v>300</v>
      </c>
      <c r="F15">
        <v>25</v>
      </c>
      <c r="G15" s="1">
        <f t="shared" si="0"/>
        <v>25.6</v>
      </c>
      <c r="H15">
        <v>35</v>
      </c>
    </row>
    <row r="16" spans="1:8" ht="14.25" customHeight="1">
      <c r="B16">
        <v>100</v>
      </c>
      <c r="C16">
        <v>235</v>
      </c>
      <c r="D16">
        <v>300</v>
      </c>
      <c r="F16">
        <v>25</v>
      </c>
      <c r="G16" s="1">
        <f t="shared" si="0"/>
        <v>31.75</v>
      </c>
      <c r="H16">
        <v>35</v>
      </c>
    </row>
    <row r="17" spans="2:7">
      <c r="B17">
        <v>300</v>
      </c>
      <c r="C17" s="3" t="s">
        <v>13</v>
      </c>
      <c r="G17" s="1">
        <v>50</v>
      </c>
    </row>
    <row r="20" spans="2:7">
      <c r="G20" s="1"/>
    </row>
    <row r="21" spans="2:7">
      <c r="G21" s="1"/>
    </row>
    <row r="22" spans="2:7">
      <c r="G22" s="1"/>
    </row>
    <row r="23" spans="2:7">
      <c r="G23" s="1"/>
    </row>
    <row r="24" spans="2:7">
      <c r="G24" s="1"/>
    </row>
    <row r="25" spans="2:7">
      <c r="G25" s="1"/>
    </row>
    <row r="26" spans="2:7">
      <c r="G26" s="1"/>
    </row>
    <row r="27" spans="2:7">
      <c r="G27" s="1"/>
    </row>
    <row r="28" spans="2:7">
      <c r="G28" s="1"/>
    </row>
    <row r="29" spans="2:7">
      <c r="G29" s="1"/>
    </row>
    <row r="30" spans="2:7">
      <c r="G30" s="1"/>
    </row>
    <row r="31" spans="2:7">
      <c r="G31" s="1"/>
    </row>
    <row r="35" spans="3:7">
      <c r="C35" s="2"/>
      <c r="D35" s="3"/>
      <c r="G35" s="1"/>
    </row>
    <row r="36" spans="3:7">
      <c r="G36" s="1"/>
    </row>
    <row r="37" spans="3:7">
      <c r="G37" s="1"/>
    </row>
    <row r="38" spans="3:7">
      <c r="G38" s="1"/>
    </row>
    <row r="39" spans="3:7">
      <c r="G39" s="1"/>
    </row>
    <row r="40" spans="3:7">
      <c r="G40" s="1"/>
    </row>
    <row r="41" spans="3:7">
      <c r="G41" s="1"/>
    </row>
    <row r="42" spans="3:7">
      <c r="C42" s="3"/>
      <c r="G42" s="1"/>
    </row>
  </sheetData>
  <mergeCells count="2">
    <mergeCell ref="B2:D2"/>
    <mergeCell ref="F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6"/>
  <dimension ref="A1:J24"/>
  <sheetViews>
    <sheetView workbookViewId="0">
      <selection activeCell="S17" sqref="S16:S17"/>
    </sheetView>
  </sheetViews>
  <sheetFormatPr defaultRowHeight="15"/>
  <cols>
    <col min="2" max="2" width="61.28515625" customWidth="1"/>
    <col min="4" max="4" width="16" customWidth="1"/>
    <col min="5" max="5" width="19.28515625" customWidth="1"/>
    <col min="8" max="8" width="18" customWidth="1"/>
    <col min="9" max="9" width="49.85546875" style="4" customWidth="1"/>
    <col min="10" max="10" width="17.85546875" customWidth="1"/>
  </cols>
  <sheetData>
    <row r="1" spans="1:10" ht="27" customHeight="1">
      <c r="A1" s="225" t="s">
        <v>59</v>
      </c>
      <c r="B1" s="225"/>
      <c r="C1" s="225"/>
      <c r="D1" s="225"/>
      <c r="E1" s="225"/>
    </row>
    <row r="2" spans="1:10">
      <c r="A2" s="6" t="s">
        <v>47</v>
      </c>
      <c r="B2" s="6" t="s">
        <v>51</v>
      </c>
      <c r="C2" s="6" t="s">
        <v>49</v>
      </c>
      <c r="D2" s="6" t="s">
        <v>58</v>
      </c>
      <c r="E2" s="6" t="s">
        <v>52</v>
      </c>
    </row>
    <row r="3" spans="1:10">
      <c r="A3" s="6">
        <v>1</v>
      </c>
      <c r="B3" s="6" t="s">
        <v>48</v>
      </c>
      <c r="C3" s="6" t="s">
        <v>50</v>
      </c>
      <c r="D3" s="6"/>
      <c r="E3" s="6"/>
      <c r="F3">
        <v>1</v>
      </c>
      <c r="H3" t="s">
        <v>56</v>
      </c>
      <c r="I3" s="21" t="s">
        <v>65</v>
      </c>
      <c r="J3" s="1">
        <v>1</v>
      </c>
    </row>
    <row r="4" spans="1:10">
      <c r="A4" s="6">
        <v>2</v>
      </c>
      <c r="B4" s="6" t="s">
        <v>46</v>
      </c>
      <c r="C4" s="6" t="s">
        <v>50</v>
      </c>
      <c r="D4" s="6"/>
      <c r="E4" s="6"/>
      <c r="F4">
        <v>3</v>
      </c>
      <c r="I4" s="4" t="s">
        <v>64</v>
      </c>
    </row>
    <row r="5" spans="1:10">
      <c r="A5" s="6">
        <v>3</v>
      </c>
      <c r="B5" s="6" t="s">
        <v>53</v>
      </c>
      <c r="C5" s="6" t="s">
        <v>50</v>
      </c>
      <c r="D5" s="6"/>
      <c r="E5" s="6"/>
      <c r="F5">
        <v>4</v>
      </c>
    </row>
    <row r="6" spans="1:10">
      <c r="A6" s="6">
        <v>4</v>
      </c>
      <c r="B6" s="6" t="s">
        <v>54</v>
      </c>
      <c r="C6" s="6" t="s">
        <v>50</v>
      </c>
      <c r="D6" s="6"/>
      <c r="E6" s="6"/>
      <c r="F6">
        <v>6</v>
      </c>
    </row>
    <row r="7" spans="1:10">
      <c r="H7" t="s">
        <v>57</v>
      </c>
      <c r="I7" s="21" t="s">
        <v>63</v>
      </c>
      <c r="J7" s="1">
        <v>2</v>
      </c>
    </row>
    <row r="8" spans="1:10">
      <c r="I8" s="21" t="s">
        <v>67</v>
      </c>
      <c r="J8" s="1">
        <v>3</v>
      </c>
    </row>
    <row r="9" spans="1:10">
      <c r="I9" s="4" t="s">
        <v>61</v>
      </c>
    </row>
    <row r="10" spans="1:10" ht="33.75" customHeight="1">
      <c r="A10" s="301" t="s">
        <v>60</v>
      </c>
      <c r="B10" s="301"/>
      <c r="C10" s="301"/>
      <c r="D10" s="301"/>
      <c r="E10" s="301"/>
      <c r="I10" s="4" t="s">
        <v>62</v>
      </c>
    </row>
    <row r="11" spans="1:10" ht="30">
      <c r="A11" s="6" t="s">
        <v>47</v>
      </c>
      <c r="B11" s="6" t="s">
        <v>51</v>
      </c>
      <c r="C11" s="6" t="s">
        <v>49</v>
      </c>
      <c r="D11" s="6" t="s">
        <v>58</v>
      </c>
      <c r="E11" s="6" t="s">
        <v>52</v>
      </c>
      <c r="I11" s="4" t="s">
        <v>71</v>
      </c>
    </row>
    <row r="12" spans="1:10">
      <c r="A12" s="6">
        <v>1</v>
      </c>
      <c r="B12" s="6" t="s">
        <v>48</v>
      </c>
      <c r="C12" s="6" t="s">
        <v>50</v>
      </c>
      <c r="D12" s="6"/>
      <c r="E12" s="6"/>
      <c r="F12">
        <v>1</v>
      </c>
    </row>
    <row r="13" spans="1:10" ht="30">
      <c r="A13" s="6">
        <v>2</v>
      </c>
      <c r="B13" s="12" t="s">
        <v>55</v>
      </c>
      <c r="C13" s="6" t="s">
        <v>50</v>
      </c>
      <c r="D13" s="6"/>
      <c r="E13" s="6"/>
      <c r="F13">
        <v>2</v>
      </c>
      <c r="I13" s="20" t="s">
        <v>78</v>
      </c>
    </row>
    <row r="14" spans="1:10">
      <c r="A14" s="6">
        <v>3</v>
      </c>
      <c r="B14" s="6" t="s">
        <v>76</v>
      </c>
      <c r="C14" s="6" t="s">
        <v>50</v>
      </c>
      <c r="D14" s="6"/>
      <c r="E14" s="6"/>
      <c r="F14">
        <v>5</v>
      </c>
      <c r="H14" t="s">
        <v>66</v>
      </c>
      <c r="I14" s="21" t="s">
        <v>68</v>
      </c>
      <c r="J14" s="1">
        <v>4</v>
      </c>
    </row>
    <row r="15" spans="1:10">
      <c r="A15" s="6">
        <v>4</v>
      </c>
      <c r="B15" s="6" t="s">
        <v>77</v>
      </c>
      <c r="C15" s="6" t="s">
        <v>50</v>
      </c>
      <c r="D15" s="6"/>
      <c r="E15" s="6"/>
      <c r="F15">
        <v>7</v>
      </c>
      <c r="I15" s="22" t="s">
        <v>76</v>
      </c>
      <c r="J15" s="1">
        <v>5</v>
      </c>
    </row>
    <row r="16" spans="1:10">
      <c r="I16" s="4" t="s">
        <v>69</v>
      </c>
    </row>
    <row r="17" spans="9:10">
      <c r="I17" s="4" t="s">
        <v>74</v>
      </c>
    </row>
    <row r="18" spans="9:10" ht="27.75" customHeight="1">
      <c r="I18" s="4" t="s">
        <v>70</v>
      </c>
    </row>
    <row r="20" spans="9:10">
      <c r="I20" s="21" t="s">
        <v>54</v>
      </c>
      <c r="J20" s="1">
        <v>6</v>
      </c>
    </row>
    <row r="21" spans="9:10">
      <c r="I21" s="22" t="s">
        <v>77</v>
      </c>
      <c r="J21" s="1">
        <v>7</v>
      </c>
    </row>
    <row r="22" spans="9:10">
      <c r="I22" s="4" t="s">
        <v>72</v>
      </c>
    </row>
    <row r="23" spans="9:10">
      <c r="I23" s="4" t="s">
        <v>73</v>
      </c>
    </row>
    <row r="24" spans="9:10" ht="30">
      <c r="I24" s="4" t="s">
        <v>75</v>
      </c>
    </row>
  </sheetData>
  <mergeCells count="2">
    <mergeCell ref="A1:E1"/>
    <mergeCell ref="A10:E1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H42"/>
  <sheetViews>
    <sheetView workbookViewId="0">
      <selection activeCell="S17" sqref="S16:S17"/>
    </sheetView>
  </sheetViews>
  <sheetFormatPr defaultRowHeight="15"/>
  <cols>
    <col min="1" max="1" width="32.140625" customWidth="1"/>
  </cols>
  <sheetData>
    <row r="1" spans="1:8">
      <c r="C1" t="s">
        <v>0</v>
      </c>
    </row>
    <row r="2" spans="1:8">
      <c r="B2" s="212" t="s">
        <v>7</v>
      </c>
      <c r="C2" s="213"/>
      <c r="D2" s="214"/>
      <c r="F2" s="212" t="s">
        <v>8</v>
      </c>
      <c r="G2" s="213"/>
      <c r="H2" s="214"/>
    </row>
    <row r="3" spans="1:8">
      <c r="B3" t="s">
        <v>2</v>
      </c>
      <c r="C3" t="s">
        <v>3</v>
      </c>
      <c r="D3" t="s">
        <v>1</v>
      </c>
      <c r="F3" t="s">
        <v>4</v>
      </c>
      <c r="G3" t="s">
        <v>5</v>
      </c>
      <c r="H3" t="s">
        <v>6</v>
      </c>
    </row>
    <row r="4" spans="1:8" ht="30">
      <c r="A4" s="4" t="s">
        <v>15</v>
      </c>
      <c r="B4">
        <v>300</v>
      </c>
      <c r="C4">
        <v>325</v>
      </c>
      <c r="D4">
        <v>400</v>
      </c>
      <c r="F4">
        <v>420</v>
      </c>
      <c r="G4" s="1">
        <f>F4+(C4-B4)*(H4-F4)/(D4-B4)</f>
        <v>455</v>
      </c>
      <c r="H4">
        <v>560</v>
      </c>
    </row>
    <row r="5" spans="1:8">
      <c r="G5" s="1"/>
    </row>
    <row r="6" spans="1:8">
      <c r="G6" s="1"/>
    </row>
    <row r="7" spans="1:8">
      <c r="G7" s="1"/>
    </row>
    <row r="8" spans="1:8" ht="15.75">
      <c r="A8" s="5" t="s">
        <v>16</v>
      </c>
      <c r="B8">
        <v>64</v>
      </c>
      <c r="C8">
        <v>100</v>
      </c>
      <c r="D8">
        <v>128</v>
      </c>
      <c r="F8">
        <v>81</v>
      </c>
      <c r="G8" s="1">
        <f>F8+(C8-B8)*(H8-F8)/(D8-B8)</f>
        <v>77.625</v>
      </c>
      <c r="H8">
        <v>75</v>
      </c>
    </row>
    <row r="10" spans="1:8">
      <c r="C10" s="2"/>
      <c r="D10" s="3"/>
      <c r="G10" s="1"/>
    </row>
    <row r="11" spans="1:8">
      <c r="G11" s="1"/>
    </row>
    <row r="12" spans="1:8">
      <c r="G12" s="1"/>
    </row>
    <row r="13" spans="1:8">
      <c r="G13" s="1"/>
    </row>
    <row r="14" spans="1:8" ht="14.25" customHeight="1">
      <c r="G14" s="1"/>
    </row>
    <row r="15" spans="1:8" ht="14.25" customHeight="1">
      <c r="G15" s="1"/>
    </row>
    <row r="16" spans="1:8" ht="14.25" customHeight="1">
      <c r="G16" s="1"/>
    </row>
    <row r="17" spans="3:7">
      <c r="C17" s="3"/>
      <c r="G17" s="1"/>
    </row>
    <row r="20" spans="3:7">
      <c r="G20" s="1"/>
    </row>
    <row r="21" spans="3:7">
      <c r="G21" s="1"/>
    </row>
    <row r="22" spans="3:7">
      <c r="G22" s="1"/>
    </row>
    <row r="23" spans="3:7">
      <c r="G23" s="1"/>
    </row>
    <row r="24" spans="3:7">
      <c r="G24" s="1"/>
    </row>
    <row r="25" spans="3:7">
      <c r="G25" s="1"/>
    </row>
    <row r="26" spans="3:7">
      <c r="G26" s="1"/>
    </row>
    <row r="27" spans="3:7">
      <c r="G27" s="1"/>
    </row>
    <row r="28" spans="3:7">
      <c r="G28" s="1"/>
    </row>
    <row r="29" spans="3:7">
      <c r="G29" s="1"/>
    </row>
    <row r="30" spans="3:7">
      <c r="G30" s="1"/>
    </row>
    <row r="31" spans="3:7">
      <c r="G31" s="1"/>
    </row>
    <row r="35" spans="3:7">
      <c r="C35" s="2"/>
      <c r="D35" s="3"/>
      <c r="G35" s="1"/>
    </row>
    <row r="36" spans="3:7">
      <c r="G36" s="1"/>
    </row>
    <row r="37" spans="3:7">
      <c r="G37" s="1"/>
    </row>
    <row r="38" spans="3:7">
      <c r="G38" s="1"/>
    </row>
    <row r="39" spans="3:7">
      <c r="G39" s="1"/>
    </row>
    <row r="40" spans="3:7">
      <c r="G40" s="1"/>
    </row>
    <row r="41" spans="3:7">
      <c r="G41" s="1"/>
    </row>
    <row r="42" spans="3:7">
      <c r="C42" s="3"/>
      <c r="G42" s="1"/>
    </row>
  </sheetData>
  <mergeCells count="2"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6C7F-54F9-480C-8F9B-7DA3409209C2}">
  <sheetPr codeName="Лист12"/>
  <dimension ref="A1:D221"/>
  <sheetViews>
    <sheetView topLeftCell="A111" zoomScale="70" zoomScaleNormal="70" workbookViewId="0">
      <selection activeCell="S17" sqref="S16:S17"/>
    </sheetView>
  </sheetViews>
  <sheetFormatPr defaultRowHeight="15"/>
  <cols>
    <col min="1" max="1" width="33.7109375" customWidth="1"/>
    <col min="2" max="2" width="40" customWidth="1"/>
    <col min="3" max="3" width="41" customWidth="1"/>
    <col min="4" max="4" width="47.140625" customWidth="1"/>
  </cols>
  <sheetData>
    <row r="1" spans="1:2" ht="15.75" thickBot="1"/>
    <row r="2" spans="1:2" ht="30">
      <c r="A2" s="57" t="s">
        <v>307</v>
      </c>
      <c r="B2" s="56" t="s">
        <v>306</v>
      </c>
    </row>
    <row r="3" spans="1:2">
      <c r="A3" s="53" t="s">
        <v>228</v>
      </c>
      <c r="B3" s="48">
        <v>1</v>
      </c>
    </row>
    <row r="4" spans="1:2">
      <c r="A4" s="53" t="s">
        <v>159</v>
      </c>
      <c r="B4" s="48">
        <v>0.85</v>
      </c>
    </row>
    <row r="5" spans="1:2">
      <c r="A5" s="53" t="s">
        <v>150</v>
      </c>
      <c r="B5" s="48">
        <v>0.75</v>
      </c>
    </row>
    <row r="6" spans="1:2" ht="15.75" thickBot="1">
      <c r="A6" s="52" t="s">
        <v>132</v>
      </c>
      <c r="B6" s="45">
        <v>0.7</v>
      </c>
    </row>
    <row r="7" spans="1:2" ht="15.75" thickBot="1"/>
    <row r="8" spans="1:2">
      <c r="A8" s="54" t="s">
        <v>305</v>
      </c>
      <c r="B8" s="49"/>
    </row>
    <row r="9" spans="1:2">
      <c r="A9" s="53" t="s">
        <v>100</v>
      </c>
      <c r="B9" s="48">
        <v>1</v>
      </c>
    </row>
    <row r="10" spans="1:2">
      <c r="A10" s="53" t="s">
        <v>304</v>
      </c>
      <c r="B10" s="48">
        <v>0</v>
      </c>
    </row>
    <row r="11" spans="1:2" ht="15.75" thickBot="1">
      <c r="A11" s="52" t="s">
        <v>303</v>
      </c>
      <c r="B11" s="45">
        <v>0.5</v>
      </c>
    </row>
    <row r="12" spans="1:2" ht="15.75" thickBot="1"/>
    <row r="13" spans="1:2">
      <c r="A13" s="54" t="s">
        <v>302</v>
      </c>
      <c r="B13" s="49"/>
    </row>
    <row r="14" spans="1:2">
      <c r="A14" s="53" t="s">
        <v>301</v>
      </c>
      <c r="B14" s="48">
        <v>0.5</v>
      </c>
    </row>
    <row r="15" spans="1:2">
      <c r="A15" s="53" t="s">
        <v>300</v>
      </c>
      <c r="B15" s="48">
        <v>0.75</v>
      </c>
    </row>
    <row r="16" spans="1:2">
      <c r="A16" s="53" t="s">
        <v>97</v>
      </c>
      <c r="B16" s="48">
        <v>1</v>
      </c>
    </row>
    <row r="17" spans="1:2" ht="15.75" thickBot="1">
      <c r="A17" s="52" t="s">
        <v>299</v>
      </c>
      <c r="B17" s="45">
        <v>0</v>
      </c>
    </row>
    <row r="18" spans="1:2" ht="15.75" thickBot="1"/>
    <row r="19" spans="1:2">
      <c r="A19" s="302" t="s">
        <v>298</v>
      </c>
      <c r="B19" s="303"/>
    </row>
    <row r="20" spans="1:2">
      <c r="A20" s="53" t="s">
        <v>91</v>
      </c>
      <c r="B20" s="48">
        <v>0.5</v>
      </c>
    </row>
    <row r="21" spans="1:2">
      <c r="A21" s="53" t="s">
        <v>296</v>
      </c>
      <c r="B21" s="48">
        <v>1</v>
      </c>
    </row>
    <row r="22" spans="1:2">
      <c r="A22" s="53" t="s">
        <v>119</v>
      </c>
      <c r="B22" s="48">
        <v>0.25</v>
      </c>
    </row>
    <row r="23" spans="1:2" ht="15.75" thickBot="1">
      <c r="A23" s="52" t="s">
        <v>94</v>
      </c>
      <c r="B23" s="45">
        <v>0</v>
      </c>
    </row>
    <row r="24" spans="1:2" ht="15.75" thickBot="1"/>
    <row r="25" spans="1:2">
      <c r="A25" s="54" t="s">
        <v>297</v>
      </c>
      <c r="B25" s="49"/>
    </row>
    <row r="26" spans="1:2">
      <c r="A26" s="53" t="s">
        <v>91</v>
      </c>
      <c r="B26" s="48">
        <v>0.5</v>
      </c>
    </row>
    <row r="27" spans="1:2">
      <c r="A27" s="53" t="s">
        <v>296</v>
      </c>
      <c r="B27" s="48">
        <v>1</v>
      </c>
    </row>
    <row r="28" spans="1:2">
      <c r="A28" s="53" t="s">
        <v>119</v>
      </c>
      <c r="B28" s="48">
        <v>0.25</v>
      </c>
    </row>
    <row r="29" spans="1:2" ht="15.75" thickBot="1">
      <c r="A29" s="52" t="s">
        <v>94</v>
      </c>
      <c r="B29" s="45">
        <v>0</v>
      </c>
    </row>
    <row r="30" spans="1:2" ht="15.75" thickBot="1"/>
    <row r="31" spans="1:2">
      <c r="A31" s="54" t="s">
        <v>295</v>
      </c>
      <c r="B31" s="49"/>
    </row>
    <row r="32" spans="1:2">
      <c r="A32" s="53" t="s">
        <v>294</v>
      </c>
      <c r="B32" s="48">
        <v>0.7</v>
      </c>
    </row>
    <row r="33" spans="1:2">
      <c r="A33" s="53" t="s">
        <v>293</v>
      </c>
      <c r="B33" s="48">
        <v>0.25</v>
      </c>
    </row>
    <row r="34" spans="1:2">
      <c r="A34" s="53" t="s">
        <v>89</v>
      </c>
      <c r="B34" s="48">
        <v>1</v>
      </c>
    </row>
    <row r="35" spans="1:2">
      <c r="A35" s="53" t="s">
        <v>292</v>
      </c>
      <c r="B35" s="48">
        <v>0</v>
      </c>
    </row>
    <row r="36" spans="1:2" ht="15.75" thickBot="1">
      <c r="A36" s="52" t="s">
        <v>291</v>
      </c>
      <c r="B36" s="45">
        <v>0.5</v>
      </c>
    </row>
    <row r="37" spans="1:2" ht="15.75" thickBot="1"/>
    <row r="38" spans="1:2">
      <c r="A38" s="302" t="s">
        <v>290</v>
      </c>
      <c r="B38" s="303"/>
    </row>
    <row r="39" spans="1:2">
      <c r="A39" s="55" t="s">
        <v>85</v>
      </c>
      <c r="B39" s="48">
        <v>0</v>
      </c>
    </row>
    <row r="40" spans="1:2">
      <c r="A40" s="53" t="s">
        <v>289</v>
      </c>
      <c r="B40" s="48">
        <v>0.75</v>
      </c>
    </row>
    <row r="41" spans="1:2">
      <c r="A41" s="53" t="s">
        <v>288</v>
      </c>
      <c r="B41" s="48">
        <v>0.5</v>
      </c>
    </row>
    <row r="42" spans="1:2">
      <c r="A42" s="53" t="s">
        <v>287</v>
      </c>
      <c r="B42" s="48">
        <v>0.25</v>
      </c>
    </row>
    <row r="43" spans="1:2" ht="15.75" thickBot="1">
      <c r="A43" s="52" t="s">
        <v>286</v>
      </c>
      <c r="B43" s="45">
        <v>1</v>
      </c>
    </row>
    <row r="44" spans="1:2" ht="15.75" thickBot="1"/>
    <row r="45" spans="1:2">
      <c r="A45" s="54" t="s">
        <v>285</v>
      </c>
      <c r="B45" s="49"/>
    </row>
    <row r="46" spans="1:2">
      <c r="A46" s="55" t="s">
        <v>284</v>
      </c>
      <c r="B46" s="48">
        <v>0</v>
      </c>
    </row>
    <row r="47" spans="1:2">
      <c r="A47" s="53" t="s">
        <v>118</v>
      </c>
      <c r="B47" s="48">
        <v>0.75</v>
      </c>
    </row>
    <row r="48" spans="1:2">
      <c r="A48" s="53" t="s">
        <v>283</v>
      </c>
      <c r="B48" s="48">
        <v>0.5</v>
      </c>
    </row>
    <row r="49" spans="1:2">
      <c r="A49" s="53" t="s">
        <v>82</v>
      </c>
      <c r="B49" s="48">
        <v>0.25</v>
      </c>
    </row>
    <row r="50" spans="1:2" ht="15.75" thickBot="1">
      <c r="A50" s="52" t="s">
        <v>282</v>
      </c>
      <c r="B50" s="45">
        <v>1</v>
      </c>
    </row>
    <row r="51" spans="1:2" ht="15.75" thickBot="1"/>
    <row r="52" spans="1:2">
      <c r="A52" s="54" t="s">
        <v>281</v>
      </c>
      <c r="B52" s="49"/>
    </row>
    <row r="53" spans="1:2">
      <c r="A53" s="53" t="s">
        <v>228</v>
      </c>
      <c r="B53" s="48">
        <v>1</v>
      </c>
    </row>
    <row r="54" spans="1:2">
      <c r="A54" s="53" t="s">
        <v>159</v>
      </c>
      <c r="B54" s="48">
        <v>0.75</v>
      </c>
    </row>
    <row r="55" spans="1:2">
      <c r="A55" s="53" t="s">
        <v>150</v>
      </c>
      <c r="B55" s="48">
        <v>0.5</v>
      </c>
    </row>
    <row r="56" spans="1:2" ht="15.75" thickBot="1">
      <c r="A56" s="52" t="s">
        <v>132</v>
      </c>
      <c r="B56" s="45">
        <v>0.25</v>
      </c>
    </row>
    <row r="57" spans="1:2" ht="15.75" thickBot="1"/>
    <row r="58" spans="1:2" ht="26.25">
      <c r="A58" s="51" t="s">
        <v>280</v>
      </c>
      <c r="B58" s="49" t="s">
        <v>279</v>
      </c>
    </row>
    <row r="59" spans="1:2">
      <c r="A59" s="47" t="s">
        <v>278</v>
      </c>
      <c r="B59" s="48" t="s">
        <v>228</v>
      </c>
    </row>
    <row r="60" spans="1:2">
      <c r="A60" s="47" t="s">
        <v>277</v>
      </c>
      <c r="B60" s="48" t="s">
        <v>228</v>
      </c>
    </row>
    <row r="61" spans="1:2">
      <c r="A61" s="47" t="s">
        <v>276</v>
      </c>
      <c r="B61" s="48" t="s">
        <v>228</v>
      </c>
    </row>
    <row r="62" spans="1:2">
      <c r="A62" s="47" t="s">
        <v>275</v>
      </c>
      <c r="B62" s="48" t="s">
        <v>228</v>
      </c>
    </row>
    <row r="63" spans="1:2">
      <c r="A63" s="47" t="s">
        <v>274</v>
      </c>
      <c r="B63" s="48" t="s">
        <v>228</v>
      </c>
    </row>
    <row r="64" spans="1:2">
      <c r="A64" s="47" t="s">
        <v>273</v>
      </c>
      <c r="B64" s="48" t="s">
        <v>228</v>
      </c>
    </row>
    <row r="65" spans="1:2">
      <c r="A65" s="47" t="s">
        <v>272</v>
      </c>
      <c r="B65" s="48" t="s">
        <v>228</v>
      </c>
    </row>
    <row r="66" spans="1:2">
      <c r="A66" s="47" t="s">
        <v>271</v>
      </c>
      <c r="B66" s="48" t="s">
        <v>228</v>
      </c>
    </row>
    <row r="67" spans="1:2">
      <c r="A67" s="47" t="s">
        <v>270</v>
      </c>
      <c r="B67" s="48" t="s">
        <v>228</v>
      </c>
    </row>
    <row r="68" spans="1:2">
      <c r="A68" s="47" t="s">
        <v>269</v>
      </c>
      <c r="B68" s="48" t="s">
        <v>228</v>
      </c>
    </row>
    <row r="69" spans="1:2">
      <c r="A69" s="47" t="s">
        <v>268</v>
      </c>
      <c r="B69" s="48" t="s">
        <v>228</v>
      </c>
    </row>
    <row r="70" spans="1:2">
      <c r="A70" s="47" t="s">
        <v>267</v>
      </c>
      <c r="B70" s="48" t="s">
        <v>228</v>
      </c>
    </row>
    <row r="71" spans="1:2">
      <c r="A71" s="47" t="s">
        <v>266</v>
      </c>
      <c r="B71" s="48" t="s">
        <v>228</v>
      </c>
    </row>
    <row r="72" spans="1:2">
      <c r="A72" s="47" t="s">
        <v>265</v>
      </c>
      <c r="B72" s="48" t="s">
        <v>228</v>
      </c>
    </row>
    <row r="73" spans="1:2">
      <c r="A73" s="47" t="s">
        <v>264</v>
      </c>
      <c r="B73" s="48" t="s">
        <v>228</v>
      </c>
    </row>
    <row r="74" spans="1:2">
      <c r="A74" s="47" t="s">
        <v>263</v>
      </c>
      <c r="B74" s="48" t="s">
        <v>228</v>
      </c>
    </row>
    <row r="75" spans="1:2">
      <c r="A75" s="47" t="s">
        <v>262</v>
      </c>
      <c r="B75" s="48" t="s">
        <v>228</v>
      </c>
    </row>
    <row r="76" spans="1:2">
      <c r="A76" s="47" t="s">
        <v>261</v>
      </c>
      <c r="B76" s="48" t="s">
        <v>228</v>
      </c>
    </row>
    <row r="77" spans="1:2">
      <c r="A77" s="47" t="s">
        <v>260</v>
      </c>
      <c r="B77" s="48" t="s">
        <v>228</v>
      </c>
    </row>
    <row r="78" spans="1:2">
      <c r="A78" s="47" t="s">
        <v>259</v>
      </c>
      <c r="B78" s="48" t="s">
        <v>228</v>
      </c>
    </row>
    <row r="79" spans="1:2">
      <c r="A79" s="47" t="s">
        <v>258</v>
      </c>
      <c r="B79" s="48" t="s">
        <v>228</v>
      </c>
    </row>
    <row r="80" spans="1:2">
      <c r="A80" s="47" t="s">
        <v>257</v>
      </c>
      <c r="B80" s="48" t="s">
        <v>228</v>
      </c>
    </row>
    <row r="81" spans="1:2">
      <c r="A81" s="47" t="s">
        <v>256</v>
      </c>
      <c r="B81" s="48" t="s">
        <v>228</v>
      </c>
    </row>
    <row r="82" spans="1:2">
      <c r="A82" s="47" t="s">
        <v>255</v>
      </c>
      <c r="B82" s="48" t="s">
        <v>228</v>
      </c>
    </row>
    <row r="83" spans="1:2">
      <c r="A83" s="47" t="s">
        <v>254</v>
      </c>
      <c r="B83" s="48" t="s">
        <v>228</v>
      </c>
    </row>
    <row r="84" spans="1:2">
      <c r="A84" s="47" t="s">
        <v>253</v>
      </c>
      <c r="B84" s="48" t="s">
        <v>228</v>
      </c>
    </row>
    <row r="85" spans="1:2">
      <c r="A85" s="47" t="s">
        <v>252</v>
      </c>
      <c r="B85" s="48" t="s">
        <v>228</v>
      </c>
    </row>
    <row r="86" spans="1:2">
      <c r="A86" s="47" t="s">
        <v>251</v>
      </c>
      <c r="B86" s="48" t="s">
        <v>228</v>
      </c>
    </row>
    <row r="87" spans="1:2">
      <c r="A87" s="47" t="s">
        <v>250</v>
      </c>
      <c r="B87" s="48" t="s">
        <v>228</v>
      </c>
    </row>
    <row r="88" spans="1:2">
      <c r="A88" s="47" t="s">
        <v>249</v>
      </c>
      <c r="B88" s="48" t="s">
        <v>228</v>
      </c>
    </row>
    <row r="89" spans="1:2">
      <c r="A89" s="47" t="s">
        <v>248</v>
      </c>
      <c r="B89" s="48" t="s">
        <v>228</v>
      </c>
    </row>
    <row r="90" spans="1:2">
      <c r="A90" s="47" t="s">
        <v>247</v>
      </c>
      <c r="B90" s="48" t="s">
        <v>228</v>
      </c>
    </row>
    <row r="91" spans="1:2">
      <c r="A91" s="47" t="s">
        <v>246</v>
      </c>
      <c r="B91" s="48" t="s">
        <v>228</v>
      </c>
    </row>
    <row r="92" spans="1:2">
      <c r="A92" s="47" t="s">
        <v>245</v>
      </c>
      <c r="B92" s="48" t="s">
        <v>228</v>
      </c>
    </row>
    <row r="93" spans="1:2">
      <c r="A93" s="47" t="s">
        <v>244</v>
      </c>
      <c r="B93" s="48" t="s">
        <v>228</v>
      </c>
    </row>
    <row r="94" spans="1:2">
      <c r="A94" s="47" t="s">
        <v>243</v>
      </c>
      <c r="B94" s="48" t="s">
        <v>228</v>
      </c>
    </row>
    <row r="95" spans="1:2">
      <c r="A95" s="47" t="s">
        <v>242</v>
      </c>
      <c r="B95" s="48" t="s">
        <v>228</v>
      </c>
    </row>
    <row r="96" spans="1:2">
      <c r="A96" s="47" t="s">
        <v>241</v>
      </c>
      <c r="B96" s="48" t="s">
        <v>228</v>
      </c>
    </row>
    <row r="97" spans="1:2">
      <c r="A97" s="47" t="s">
        <v>240</v>
      </c>
      <c r="B97" s="48" t="s">
        <v>228</v>
      </c>
    </row>
    <row r="98" spans="1:2">
      <c r="A98" s="47" t="s">
        <v>239</v>
      </c>
      <c r="B98" s="48" t="s">
        <v>228</v>
      </c>
    </row>
    <row r="99" spans="1:2">
      <c r="A99" s="47" t="s">
        <v>238</v>
      </c>
      <c r="B99" s="48" t="s">
        <v>228</v>
      </c>
    </row>
    <row r="100" spans="1:2">
      <c r="A100" s="47" t="s">
        <v>237</v>
      </c>
      <c r="B100" s="48" t="s">
        <v>228</v>
      </c>
    </row>
    <row r="101" spans="1:2">
      <c r="A101" s="47" t="s">
        <v>236</v>
      </c>
      <c r="B101" s="48" t="s">
        <v>228</v>
      </c>
    </row>
    <row r="102" spans="1:2">
      <c r="A102" s="47" t="s">
        <v>235</v>
      </c>
      <c r="B102" s="48" t="s">
        <v>228</v>
      </c>
    </row>
    <row r="103" spans="1:2">
      <c r="A103" s="47" t="s">
        <v>234</v>
      </c>
      <c r="B103" s="48" t="s">
        <v>228</v>
      </c>
    </row>
    <row r="104" spans="1:2">
      <c r="A104" s="47" t="s">
        <v>233</v>
      </c>
      <c r="B104" s="48" t="s">
        <v>228</v>
      </c>
    </row>
    <row r="105" spans="1:2">
      <c r="A105" s="47" t="s">
        <v>232</v>
      </c>
      <c r="B105" s="48" t="s">
        <v>228</v>
      </c>
    </row>
    <row r="106" spans="1:2">
      <c r="A106" s="47" t="s">
        <v>231</v>
      </c>
      <c r="B106" s="48" t="s">
        <v>228</v>
      </c>
    </row>
    <row r="107" spans="1:2">
      <c r="A107" s="47" t="s">
        <v>230</v>
      </c>
      <c r="B107" s="48" t="s">
        <v>228</v>
      </c>
    </row>
    <row r="108" spans="1:2">
      <c r="A108" s="47" t="s">
        <v>229</v>
      </c>
      <c r="B108" s="48" t="s">
        <v>228</v>
      </c>
    </row>
    <row r="109" spans="1:2">
      <c r="A109" s="47" t="s">
        <v>227</v>
      </c>
      <c r="B109" s="48" t="s">
        <v>159</v>
      </c>
    </row>
    <row r="110" spans="1:2">
      <c r="A110" s="47" t="s">
        <v>226</v>
      </c>
      <c r="B110" s="48" t="s">
        <v>159</v>
      </c>
    </row>
    <row r="111" spans="1:2">
      <c r="A111" s="47" t="s">
        <v>225</v>
      </c>
      <c r="B111" s="48" t="s">
        <v>159</v>
      </c>
    </row>
    <row r="112" spans="1:2">
      <c r="A112" s="47" t="s">
        <v>224</v>
      </c>
      <c r="B112" s="48" t="s">
        <v>159</v>
      </c>
    </row>
    <row r="113" spans="1:2">
      <c r="A113" s="47" t="s">
        <v>223</v>
      </c>
      <c r="B113" s="48" t="s">
        <v>159</v>
      </c>
    </row>
    <row r="114" spans="1:2">
      <c r="A114" s="47" t="s">
        <v>222</v>
      </c>
      <c r="B114" s="48" t="s">
        <v>159</v>
      </c>
    </row>
    <row r="115" spans="1:2">
      <c r="A115" s="47" t="s">
        <v>221</v>
      </c>
      <c r="B115" s="48" t="s">
        <v>159</v>
      </c>
    </row>
    <row r="116" spans="1:2">
      <c r="A116" s="47" t="s">
        <v>220</v>
      </c>
      <c r="B116" s="48" t="s">
        <v>159</v>
      </c>
    </row>
    <row r="117" spans="1:2">
      <c r="A117" s="47" t="s">
        <v>219</v>
      </c>
      <c r="B117" s="48" t="s">
        <v>159</v>
      </c>
    </row>
    <row r="118" spans="1:2">
      <c r="A118" s="47" t="s">
        <v>218</v>
      </c>
      <c r="B118" s="48" t="s">
        <v>159</v>
      </c>
    </row>
    <row r="119" spans="1:2">
      <c r="A119" s="47" t="s">
        <v>217</v>
      </c>
      <c r="B119" s="48" t="s">
        <v>159</v>
      </c>
    </row>
    <row r="120" spans="1:2">
      <c r="A120" s="47" t="s">
        <v>216</v>
      </c>
      <c r="B120" s="48" t="s">
        <v>159</v>
      </c>
    </row>
    <row r="121" spans="1:2">
      <c r="A121" s="47" t="s">
        <v>215</v>
      </c>
      <c r="B121" s="48" t="s">
        <v>159</v>
      </c>
    </row>
    <row r="122" spans="1:2">
      <c r="A122" s="47" t="s">
        <v>214</v>
      </c>
      <c r="B122" s="48" t="s">
        <v>159</v>
      </c>
    </row>
    <row r="123" spans="1:2">
      <c r="A123" s="47" t="s">
        <v>213</v>
      </c>
      <c r="B123" s="48" t="s">
        <v>159</v>
      </c>
    </row>
    <row r="124" spans="1:2">
      <c r="A124" s="47" t="s">
        <v>212</v>
      </c>
      <c r="B124" s="48" t="s">
        <v>159</v>
      </c>
    </row>
    <row r="125" spans="1:2">
      <c r="A125" s="47" t="s">
        <v>211</v>
      </c>
      <c r="B125" s="48" t="s">
        <v>159</v>
      </c>
    </row>
    <row r="126" spans="1:2">
      <c r="A126" s="47" t="s">
        <v>210</v>
      </c>
      <c r="B126" s="48" t="s">
        <v>159</v>
      </c>
    </row>
    <row r="127" spans="1:2">
      <c r="A127" s="47" t="s">
        <v>209</v>
      </c>
      <c r="B127" s="48" t="s">
        <v>159</v>
      </c>
    </row>
    <row r="128" spans="1:2">
      <c r="A128" s="47" t="s">
        <v>208</v>
      </c>
      <c r="B128" s="48" t="s">
        <v>159</v>
      </c>
    </row>
    <row r="129" spans="1:2">
      <c r="A129" s="47" t="s">
        <v>207</v>
      </c>
      <c r="B129" s="48" t="s">
        <v>159</v>
      </c>
    </row>
    <row r="130" spans="1:2">
      <c r="A130" s="47" t="s">
        <v>206</v>
      </c>
      <c r="B130" s="48" t="s">
        <v>159</v>
      </c>
    </row>
    <row r="131" spans="1:2">
      <c r="A131" s="47" t="s">
        <v>205</v>
      </c>
      <c r="B131" s="48" t="s">
        <v>159</v>
      </c>
    </row>
    <row r="132" spans="1:2">
      <c r="A132" s="47" t="s">
        <v>204</v>
      </c>
      <c r="B132" s="48" t="s">
        <v>159</v>
      </c>
    </row>
    <row r="133" spans="1:2">
      <c r="A133" s="47" t="s">
        <v>203</v>
      </c>
      <c r="B133" s="48" t="s">
        <v>159</v>
      </c>
    </row>
    <row r="134" spans="1:2">
      <c r="A134" s="47" t="s">
        <v>202</v>
      </c>
      <c r="B134" s="48" t="s">
        <v>159</v>
      </c>
    </row>
    <row r="135" spans="1:2">
      <c r="A135" s="47" t="s">
        <v>201</v>
      </c>
      <c r="B135" s="48" t="s">
        <v>159</v>
      </c>
    </row>
    <row r="136" spans="1:2">
      <c r="A136" s="47" t="s">
        <v>200</v>
      </c>
      <c r="B136" s="48" t="s">
        <v>159</v>
      </c>
    </row>
    <row r="137" spans="1:2">
      <c r="A137" s="47" t="s">
        <v>199</v>
      </c>
      <c r="B137" s="48" t="s">
        <v>159</v>
      </c>
    </row>
    <row r="138" spans="1:2">
      <c r="A138" s="47" t="s">
        <v>198</v>
      </c>
      <c r="B138" s="48" t="s">
        <v>159</v>
      </c>
    </row>
    <row r="139" spans="1:2">
      <c r="A139" s="47" t="s">
        <v>197</v>
      </c>
      <c r="B139" s="48" t="s">
        <v>159</v>
      </c>
    </row>
    <row r="140" spans="1:2">
      <c r="A140" s="47" t="s">
        <v>196</v>
      </c>
      <c r="B140" s="48" t="s">
        <v>159</v>
      </c>
    </row>
    <row r="141" spans="1:2">
      <c r="A141" s="47" t="s">
        <v>195</v>
      </c>
      <c r="B141" s="48" t="s">
        <v>159</v>
      </c>
    </row>
    <row r="142" spans="1:2">
      <c r="A142" s="47" t="s">
        <v>194</v>
      </c>
      <c r="B142" s="48" t="s">
        <v>159</v>
      </c>
    </row>
    <row r="143" spans="1:2">
      <c r="A143" s="47" t="s">
        <v>193</v>
      </c>
      <c r="B143" s="48" t="s">
        <v>159</v>
      </c>
    </row>
    <row r="144" spans="1:2">
      <c r="A144" s="47" t="s">
        <v>192</v>
      </c>
      <c r="B144" s="48" t="s">
        <v>159</v>
      </c>
    </row>
    <row r="145" spans="1:2">
      <c r="A145" s="47" t="s">
        <v>191</v>
      </c>
      <c r="B145" s="48" t="s">
        <v>159</v>
      </c>
    </row>
    <row r="146" spans="1:2">
      <c r="A146" s="47" t="s">
        <v>190</v>
      </c>
      <c r="B146" s="48" t="s">
        <v>159</v>
      </c>
    </row>
    <row r="147" spans="1:2" ht="28.5">
      <c r="A147" s="47" t="s">
        <v>189</v>
      </c>
      <c r="B147" s="48" t="s">
        <v>159</v>
      </c>
    </row>
    <row r="148" spans="1:2">
      <c r="A148" s="47" t="s">
        <v>188</v>
      </c>
      <c r="B148" s="48" t="s">
        <v>159</v>
      </c>
    </row>
    <row r="149" spans="1:2">
      <c r="A149" s="47" t="s">
        <v>187</v>
      </c>
      <c r="B149" s="48" t="s">
        <v>159</v>
      </c>
    </row>
    <row r="150" spans="1:2">
      <c r="A150" s="47" t="s">
        <v>186</v>
      </c>
      <c r="B150" s="48" t="s">
        <v>159</v>
      </c>
    </row>
    <row r="151" spans="1:2">
      <c r="A151" s="47" t="s">
        <v>185</v>
      </c>
      <c r="B151" s="48" t="s">
        <v>159</v>
      </c>
    </row>
    <row r="152" spans="1:2">
      <c r="A152" s="47" t="s">
        <v>184</v>
      </c>
      <c r="B152" s="48" t="s">
        <v>159</v>
      </c>
    </row>
    <row r="153" spans="1:2">
      <c r="A153" s="47" t="s">
        <v>183</v>
      </c>
      <c r="B153" s="48" t="s">
        <v>159</v>
      </c>
    </row>
    <row r="154" spans="1:2">
      <c r="A154" s="47" t="s">
        <v>182</v>
      </c>
      <c r="B154" s="48" t="s">
        <v>159</v>
      </c>
    </row>
    <row r="155" spans="1:2">
      <c r="A155" s="47" t="s">
        <v>181</v>
      </c>
      <c r="B155" s="48" t="s">
        <v>159</v>
      </c>
    </row>
    <row r="156" spans="1:2">
      <c r="A156" s="47" t="s">
        <v>180</v>
      </c>
      <c r="B156" s="48" t="s">
        <v>159</v>
      </c>
    </row>
    <row r="157" spans="1:2">
      <c r="A157" s="47" t="s">
        <v>179</v>
      </c>
      <c r="B157" s="48" t="s">
        <v>159</v>
      </c>
    </row>
    <row r="158" spans="1:2">
      <c r="A158" s="47" t="s">
        <v>178</v>
      </c>
      <c r="B158" s="48" t="s">
        <v>159</v>
      </c>
    </row>
    <row r="159" spans="1:2">
      <c r="A159" s="47" t="s">
        <v>177</v>
      </c>
      <c r="B159" s="48" t="s">
        <v>159</v>
      </c>
    </row>
    <row r="160" spans="1:2">
      <c r="A160" s="47" t="s">
        <v>176</v>
      </c>
      <c r="B160" s="48" t="s">
        <v>159</v>
      </c>
    </row>
    <row r="161" spans="1:2">
      <c r="A161" s="47" t="s">
        <v>175</v>
      </c>
      <c r="B161" s="48" t="s">
        <v>159</v>
      </c>
    </row>
    <row r="162" spans="1:2">
      <c r="A162" s="47" t="s">
        <v>174</v>
      </c>
      <c r="B162" s="48" t="s">
        <v>159</v>
      </c>
    </row>
    <row r="163" spans="1:2">
      <c r="A163" s="47" t="s">
        <v>173</v>
      </c>
      <c r="B163" s="48" t="s">
        <v>159</v>
      </c>
    </row>
    <row r="164" spans="1:2">
      <c r="A164" s="47" t="s">
        <v>172</v>
      </c>
      <c r="B164" s="48" t="s">
        <v>159</v>
      </c>
    </row>
    <row r="165" spans="1:2">
      <c r="A165" s="47" t="s">
        <v>171</v>
      </c>
      <c r="B165" s="48" t="s">
        <v>159</v>
      </c>
    </row>
    <row r="166" spans="1:2">
      <c r="A166" s="47" t="s">
        <v>170</v>
      </c>
      <c r="B166" s="48" t="s">
        <v>159</v>
      </c>
    </row>
    <row r="167" spans="1:2">
      <c r="A167" s="47" t="s">
        <v>169</v>
      </c>
      <c r="B167" s="48" t="s">
        <v>159</v>
      </c>
    </row>
    <row r="168" spans="1:2">
      <c r="A168" s="47" t="s">
        <v>168</v>
      </c>
      <c r="B168" s="48" t="s">
        <v>159</v>
      </c>
    </row>
    <row r="169" spans="1:2">
      <c r="A169" s="47" t="s">
        <v>167</v>
      </c>
      <c r="B169" s="48" t="s">
        <v>159</v>
      </c>
    </row>
    <row r="170" spans="1:2">
      <c r="A170" s="47" t="s">
        <v>166</v>
      </c>
      <c r="B170" s="48" t="s">
        <v>159</v>
      </c>
    </row>
    <row r="171" spans="1:2">
      <c r="A171" s="47" t="s">
        <v>165</v>
      </c>
      <c r="B171" s="48" t="s">
        <v>159</v>
      </c>
    </row>
    <row r="172" spans="1:2">
      <c r="A172" s="47" t="s">
        <v>164</v>
      </c>
      <c r="B172" s="48" t="s">
        <v>159</v>
      </c>
    </row>
    <row r="173" spans="1:2">
      <c r="A173" s="47" t="s">
        <v>163</v>
      </c>
      <c r="B173" s="48" t="s">
        <v>159</v>
      </c>
    </row>
    <row r="174" spans="1:2">
      <c r="A174" s="47" t="s">
        <v>162</v>
      </c>
      <c r="B174" s="48" t="s">
        <v>159</v>
      </c>
    </row>
    <row r="175" spans="1:2">
      <c r="A175" s="47" t="s">
        <v>161</v>
      </c>
      <c r="B175" s="48" t="s">
        <v>159</v>
      </c>
    </row>
    <row r="176" spans="1:2">
      <c r="A176" s="47" t="s">
        <v>160</v>
      </c>
      <c r="B176" s="48" t="s">
        <v>159</v>
      </c>
    </row>
    <row r="177" spans="1:2">
      <c r="A177" s="47" t="s">
        <v>158</v>
      </c>
      <c r="B177" s="48" t="s">
        <v>150</v>
      </c>
    </row>
    <row r="178" spans="1:2">
      <c r="A178" s="47" t="s">
        <v>157</v>
      </c>
      <c r="B178" s="48" t="s">
        <v>150</v>
      </c>
    </row>
    <row r="179" spans="1:2">
      <c r="A179" s="47" t="s">
        <v>156</v>
      </c>
      <c r="B179" s="48" t="s">
        <v>150</v>
      </c>
    </row>
    <row r="180" spans="1:2">
      <c r="A180" s="47" t="s">
        <v>155</v>
      </c>
      <c r="B180" s="48" t="s">
        <v>150</v>
      </c>
    </row>
    <row r="181" spans="1:2">
      <c r="A181" s="47" t="s">
        <v>154</v>
      </c>
      <c r="B181" s="48" t="s">
        <v>150</v>
      </c>
    </row>
    <row r="182" spans="1:2">
      <c r="A182" s="47" t="s">
        <v>153</v>
      </c>
      <c r="B182" s="48" t="s">
        <v>150</v>
      </c>
    </row>
    <row r="183" spans="1:2">
      <c r="A183" s="47" t="s">
        <v>114</v>
      </c>
      <c r="B183" s="48" t="s">
        <v>150</v>
      </c>
    </row>
    <row r="184" spans="1:2">
      <c r="A184" s="47" t="s">
        <v>152</v>
      </c>
      <c r="B184" s="48" t="s">
        <v>150</v>
      </c>
    </row>
    <row r="185" spans="1:2">
      <c r="A185" s="47" t="s">
        <v>151</v>
      </c>
      <c r="B185" s="48" t="s">
        <v>150</v>
      </c>
    </row>
    <row r="186" spans="1:2">
      <c r="A186" s="47" t="s">
        <v>149</v>
      </c>
      <c r="B186" s="48" t="s">
        <v>132</v>
      </c>
    </row>
    <row r="187" spans="1:2">
      <c r="A187" s="47" t="s">
        <v>148</v>
      </c>
      <c r="B187" s="48" t="s">
        <v>132</v>
      </c>
    </row>
    <row r="188" spans="1:2">
      <c r="A188" s="47" t="s">
        <v>147</v>
      </c>
      <c r="B188" s="48" t="s">
        <v>132</v>
      </c>
    </row>
    <row r="189" spans="1:2">
      <c r="A189" s="47" t="s">
        <v>146</v>
      </c>
      <c r="B189" s="48" t="s">
        <v>132</v>
      </c>
    </row>
    <row r="190" spans="1:2">
      <c r="A190" s="47" t="s">
        <v>145</v>
      </c>
      <c r="B190" s="48" t="s">
        <v>132</v>
      </c>
    </row>
    <row r="191" spans="1:2">
      <c r="A191" s="47" t="s">
        <v>144</v>
      </c>
      <c r="B191" s="48" t="s">
        <v>132</v>
      </c>
    </row>
    <row r="192" spans="1:2">
      <c r="A192" s="47" t="s">
        <v>143</v>
      </c>
      <c r="B192" s="48" t="s">
        <v>132</v>
      </c>
    </row>
    <row r="193" spans="1:4">
      <c r="A193" s="47" t="s">
        <v>142</v>
      </c>
      <c r="B193" s="48" t="s">
        <v>132</v>
      </c>
    </row>
    <row r="194" spans="1:4">
      <c r="A194" s="47" t="s">
        <v>141</v>
      </c>
      <c r="B194" s="48" t="s">
        <v>132</v>
      </c>
    </row>
    <row r="195" spans="1:4">
      <c r="A195" s="47" t="s">
        <v>140</v>
      </c>
      <c r="B195" s="48" t="s">
        <v>132</v>
      </c>
    </row>
    <row r="196" spans="1:4">
      <c r="A196" s="47" t="s">
        <v>139</v>
      </c>
      <c r="B196" s="48" t="s">
        <v>132</v>
      </c>
    </row>
    <row r="197" spans="1:4">
      <c r="A197" s="47" t="s">
        <v>138</v>
      </c>
      <c r="B197" s="48" t="s">
        <v>132</v>
      </c>
    </row>
    <row r="198" spans="1:4">
      <c r="A198" s="47" t="s">
        <v>137</v>
      </c>
      <c r="B198" s="48" t="s">
        <v>132</v>
      </c>
    </row>
    <row r="199" spans="1:4">
      <c r="A199" s="47" t="s">
        <v>136</v>
      </c>
      <c r="B199" s="48" t="s">
        <v>132</v>
      </c>
    </row>
    <row r="200" spans="1:4">
      <c r="A200" s="47" t="s">
        <v>135</v>
      </c>
      <c r="B200" s="48" t="s">
        <v>132</v>
      </c>
    </row>
    <row r="201" spans="1:4">
      <c r="A201" s="47" t="s">
        <v>134</v>
      </c>
      <c r="B201" s="48" t="s">
        <v>132</v>
      </c>
    </row>
    <row r="202" spans="1:4" ht="15.75" thickBot="1">
      <c r="A202" s="46" t="s">
        <v>133</v>
      </c>
      <c r="B202" s="45" t="s">
        <v>132</v>
      </c>
    </row>
    <row r="203" spans="1:4" ht="15.75" thickBot="1">
      <c r="A203" s="41"/>
    </row>
    <row r="204" spans="1:4">
      <c r="A204" s="304" t="s">
        <v>131</v>
      </c>
      <c r="B204" s="305"/>
    </row>
    <row r="205" spans="1:4" ht="28.5">
      <c r="A205" s="47" t="s">
        <v>130</v>
      </c>
      <c r="B205" s="48" t="s">
        <v>129</v>
      </c>
    </row>
    <row r="206" spans="1:4" ht="29.25" thickBot="1">
      <c r="A206" s="46" t="s">
        <v>128</v>
      </c>
      <c r="B206" s="45" t="s">
        <v>127</v>
      </c>
    </row>
    <row r="207" spans="1:4" ht="15.75" thickBot="1">
      <c r="A207" s="41"/>
    </row>
    <row r="208" spans="1:4">
      <c r="A208" s="304" t="s">
        <v>126</v>
      </c>
      <c r="B208" s="305"/>
      <c r="C208" s="50" t="s">
        <v>125</v>
      </c>
      <c r="D208" s="49" t="s">
        <v>124</v>
      </c>
    </row>
    <row r="209" spans="1:4" ht="90" customHeight="1">
      <c r="A209" s="47"/>
      <c r="B209" s="44" t="s">
        <v>111</v>
      </c>
      <c r="C209" s="47" t="s">
        <v>123</v>
      </c>
      <c r="D209" s="48">
        <v>0.85</v>
      </c>
    </row>
    <row r="210" spans="1:4" ht="98.25" customHeight="1" thickBot="1">
      <c r="A210" s="47"/>
      <c r="B210" s="44" t="s">
        <v>94</v>
      </c>
      <c r="C210" s="46" t="s">
        <v>122</v>
      </c>
      <c r="D210" s="45">
        <v>0.7</v>
      </c>
    </row>
    <row r="211" spans="1:4" ht="15" customHeight="1">
      <c r="A211" s="41"/>
      <c r="B211" s="44"/>
    </row>
    <row r="212" spans="1:4" ht="15.75" thickBot="1">
      <c r="A212" s="43"/>
      <c r="B212" s="42"/>
    </row>
    <row r="215" spans="1:4">
      <c r="A215" t="s">
        <v>121</v>
      </c>
      <c r="B215" t="s">
        <v>120</v>
      </c>
    </row>
    <row r="217" spans="1:4">
      <c r="A217" s="41"/>
    </row>
    <row r="218" spans="1:4">
      <c r="A218" s="41"/>
    </row>
    <row r="220" spans="1:4">
      <c r="A220" s="41"/>
    </row>
    <row r="221" spans="1:4">
      <c r="A221" s="41"/>
    </row>
  </sheetData>
  <mergeCells count="4">
    <mergeCell ref="A19:B19"/>
    <mergeCell ref="A38:B38"/>
    <mergeCell ref="A204:B204"/>
    <mergeCell ref="A208:B208"/>
  </mergeCells>
  <dataValidations count="1">
    <dataValidation type="list" allowBlank="1" showInputMessage="1" showErrorMessage="1" promptTitle="Зона урбанизации по Приложению 2" sqref="A3:B6" xr:uid="{00000000-0002-0000-0200-000000000000}">
      <formula1>$A$3:$A$6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4</vt:i4>
      </vt:variant>
    </vt:vector>
  </HeadingPairs>
  <TitlesOfParts>
    <vt:vector size="19" baseType="lpstr">
      <vt:lpstr>ГП</vt:lpstr>
      <vt:lpstr>Таблицы</vt:lpstr>
      <vt:lpstr>Исходные данные</vt:lpstr>
      <vt:lpstr>Расчёт_м_м</vt:lpstr>
      <vt:lpstr>Расчеты_благо</vt:lpstr>
      <vt:lpstr>Расчёт (ХП)</vt:lpstr>
      <vt:lpstr>Расчёт (ММ)</vt:lpstr>
      <vt:lpstr>Расчёт (ллмз3)</vt:lpstr>
      <vt:lpstr>Расчёт (ллмз)</vt:lpstr>
      <vt:lpstr>ГП_2</vt:lpstr>
      <vt:lpstr>Единицы</vt:lpstr>
      <vt:lpstr>ТС</vt:lpstr>
      <vt:lpstr>ТЭП</vt:lpstr>
      <vt:lpstr>cc</vt:lpstr>
      <vt:lpstr>Справочные данные</vt:lpstr>
      <vt:lpstr>Расчёт_м_м!Print_Area</vt:lpstr>
      <vt:lpstr>Расчеты_благо!Print_Area</vt:lpstr>
      <vt:lpstr>Расчёт_м_м!Область_печати</vt:lpstr>
      <vt:lpstr>Расчеты_благо!Область_печати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Чевела Игорь Александрович</cp:lastModifiedBy>
  <cp:lastPrinted>2025-12-12T20:30:20Z</cp:lastPrinted>
  <dcterms:created xsi:type="dcterms:W3CDTF">2016-01-25T13:16:56Z</dcterms:created>
  <dcterms:modified xsi:type="dcterms:W3CDTF">2025-12-22T17:57:16Z</dcterms:modified>
</cp:coreProperties>
</file>